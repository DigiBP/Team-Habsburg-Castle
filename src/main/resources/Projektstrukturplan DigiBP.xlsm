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rska\GitHub_DigiBP\Team-Habsburg-Castle\src\main\resources\"/>
    </mc:Choice>
  </mc:AlternateContent>
  <xr:revisionPtr revIDLastSave="0" documentId="8_{85C699C1-2EFD-4B96-960A-97A03A9D51C3}" xr6:coauthVersionLast="45" xr6:coauthVersionMax="45" xr10:uidLastSave="{00000000-0000-0000-0000-000000000000}"/>
  <bookViews>
    <workbookView xWindow="-110" yWindow="-110" windowWidth="19420" windowHeight="10420" firstSheet="3" activeTab="3" xr2:uid="{00000000-000D-0000-FFFF-FFFF00000000}"/>
  </bookViews>
  <sheets>
    <sheet name="Projektleitfaden" sheetId="2" state="hidden" r:id="rId1"/>
    <sheet name="HERMES Ergebnisse BFE Projekte" sheetId="3" state="hidden" r:id="rId2"/>
    <sheet name="BFE Beispiele" sheetId="4" state="hidden" r:id="rId3"/>
    <sheet name="Projektstruktur- und Prüfplan" sheetId="1" r:id="rId4"/>
    <sheet name="Mein Projekt" sheetId="6" state="hidden" r:id="rId5"/>
    <sheet name="Checkliste" sheetId="7" state="hidden" r:id="rId6"/>
    <sheet name="Hilfstabelle" sheetId="5" state="hidden" r:id="rId7"/>
  </sheets>
  <definedNames>
    <definedName name="_xlnm._FilterDatabase" localSheetId="3" hidden="1">'Projektstruktur- und Prüfplan'!$B$3:$Y$19</definedName>
    <definedName name="Anwendungshandbuch">Checkliste!$A$48</definedName>
    <definedName name="Architektur">Checkliste!$G$39</definedName>
    <definedName name="Architekturkonformität">Checkliste!$G$39</definedName>
    <definedName name="Beschaffungsformular">Checkliste!$A$30</definedName>
    <definedName name="Betriebsaktivierung">Checkliste!$J$48</definedName>
    <definedName name="Betriebsinfrastruktur">Checkliste!$G$48</definedName>
    <definedName name="Betriebskonzept">Checkliste!$D$48</definedName>
    <definedName name="Detailstudie">Checkliste!$D$39</definedName>
    <definedName name="Einführungskonzept">Checkliste!$G$30</definedName>
    <definedName name="Geschäftsorganisation">Checkliste!$D$30</definedName>
    <definedName name="Initialisierung">Checkliste!$A$12</definedName>
    <definedName name="ISDS">Checkliste!$G$57</definedName>
    <definedName name="JaNein">Hilfstabelle!$D$1:$D$2</definedName>
    <definedName name="Lastenheft">Checkliste!$J$21</definedName>
    <definedName name="Migrationskonzept">Checkliste!$A$57</definedName>
    <definedName name="Projekt">Checkliste!$D$12</definedName>
    <definedName name="Projektauftrag">Checkliste!$A$3</definedName>
    <definedName name="Projektinitialisierungsauftrag">Checkliste!$J$12</definedName>
    <definedName name="Projektmanagementplan">Checkliste!$D$3</definedName>
    <definedName name="Projektschlussbeurteilung">Checkliste!$J$3</definedName>
    <definedName name="Projektstruktruplan">Checkliste!$G$3</definedName>
    <definedName name="Rechtsgrundlagenanalyse">Checkliste!$D$21</definedName>
    <definedName name="Schuban">Checkliste!$G$21</definedName>
    <definedName name="Situationsanalyse">Checkliste!$J$30</definedName>
    <definedName name="Studie">Checkliste!$A$21</definedName>
    <definedName name="Systemanforderungen">Checkliste!$A$39</definedName>
    <definedName name="Systemarchitektur">Checkliste!$J$39</definedName>
    <definedName name="Testkonzept">Checkliste!$D$57</definedName>
    <definedName name="Vorhabenportfolio">Checkliste!$G$12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5" i="1" l="1"/>
  <c r="T18" i="1"/>
  <c r="U18" i="1"/>
  <c r="T19" i="1"/>
  <c r="U19" i="1"/>
  <c r="T20" i="1"/>
  <c r="U20" i="1"/>
  <c r="T21" i="1"/>
  <c r="U21" i="1"/>
  <c r="T6" i="1"/>
  <c r="U10" i="1" l="1"/>
  <c r="T10" i="1"/>
  <c r="U9" i="1"/>
  <c r="T9" i="1"/>
  <c r="U8" i="1"/>
  <c r="T8" i="1"/>
  <c r="U5" i="1"/>
  <c r="T5" i="1"/>
  <c r="U17" i="1"/>
  <c r="T17" i="1"/>
  <c r="U14" i="1"/>
  <c r="T14" i="1"/>
  <c r="U13" i="1"/>
  <c r="T13" i="1"/>
  <c r="U12" i="1"/>
  <c r="T12" i="1"/>
  <c r="G12" i="1"/>
  <c r="G18" i="1" l="1"/>
  <c r="G17" i="1"/>
  <c r="B6" i="7" l="1"/>
  <c r="G14" i="1" l="1"/>
  <c r="G13" i="1"/>
  <c r="G10" i="1"/>
  <c r="G9" i="1"/>
  <c r="G8" i="1"/>
  <c r="G6" i="1"/>
  <c r="B7" i="7" l="1"/>
  <c r="B10" i="7" s="1"/>
</calcChain>
</file>

<file path=xl/sharedStrings.xml><?xml version="1.0" encoding="utf-8"?>
<sst xmlns="http://schemas.openxmlformats.org/spreadsheetml/2006/main" count="524" uniqueCount="212">
  <si>
    <t>Modul / Aufgabe</t>
  </si>
  <si>
    <t>Phase</t>
  </si>
  <si>
    <t>Nr.</t>
  </si>
  <si>
    <t>Rollen/Verantwortlichkeiten</t>
  </si>
  <si>
    <t>Status</t>
  </si>
  <si>
    <t>Prüfplan</t>
  </si>
  <si>
    <t>Ende</t>
  </si>
  <si>
    <t>Ersteller</t>
  </si>
  <si>
    <t>Erledigung</t>
  </si>
  <si>
    <t>Trend</t>
  </si>
  <si>
    <t>Projektauftrag</t>
  </si>
  <si>
    <t>x</t>
  </si>
  <si>
    <t>Projektmanagementplan</t>
  </si>
  <si>
    <t>Projektschlussbeurteilung</t>
  </si>
  <si>
    <t>Studie</t>
  </si>
  <si>
    <t>Rechtsgrundlagenanalyse</t>
  </si>
  <si>
    <t>Lastenheft</t>
  </si>
  <si>
    <t>Geschäftsorganisationskonzept</t>
  </si>
  <si>
    <t>Einführungskonzept</t>
  </si>
  <si>
    <t>Situationsanalyse</t>
  </si>
  <si>
    <t>Systemanforderungen</t>
  </si>
  <si>
    <t>Detailstudie</t>
  </si>
  <si>
    <t>Systemarchitektur</t>
  </si>
  <si>
    <t>Anwendungshandbuch</t>
  </si>
  <si>
    <t>Betriebskonzept</t>
  </si>
  <si>
    <t>Betriebsinfrastruktur</t>
  </si>
  <si>
    <t>Protokoll Betriebsaktivierung</t>
  </si>
  <si>
    <t>Migrationskonzept</t>
  </si>
  <si>
    <t>Abnahmeprotokoll</t>
  </si>
  <si>
    <t>ISDS-Konzept</t>
  </si>
  <si>
    <t>HERMES Ergebnisse BFE Projekte</t>
  </si>
  <si>
    <t>Projektphase</t>
  </si>
  <si>
    <t>Initialisierung</t>
  </si>
  <si>
    <t>#</t>
  </si>
  <si>
    <t>Ergebnis</t>
  </si>
  <si>
    <t>GEVER</t>
  </si>
  <si>
    <t>HERMES</t>
  </si>
  <si>
    <t>Antrag IKT Vorhabenportfolio</t>
  </si>
  <si>
    <t>https://gever.uvek.intra.admin.ch/uvek/mx/COO.2207.110.4.942668</t>
  </si>
  <si>
    <t>Kein HERMES Ergebnis</t>
  </si>
  <si>
    <t>Projektinitialisierungsauftrag</t>
  </si>
  <si>
    <t>https://gever.uvek.intra.admin.ch/uvek/mx/COO.2207.110.4.901219</t>
  </si>
  <si>
    <t>http://www.hermes.admin.ch/szenarien/szenario_03_IT-Standardanwendung/scenario/de/ergebnis_projektinitialisierungsauftrag.html</t>
  </si>
  <si>
    <r>
      <t xml:space="preserve">Freigabe </t>
    </r>
    <r>
      <rPr>
        <b/>
        <u/>
        <sz val="9"/>
        <color theme="1"/>
        <rFont val="Arial"/>
        <family val="2"/>
      </rPr>
      <t>Initialisierungsphase</t>
    </r>
    <r>
      <rPr>
        <b/>
        <sz val="9"/>
        <color theme="1"/>
        <rFont val="Arial"/>
        <family val="2"/>
      </rPr>
      <t>: GL (&gt;24'999.--) | IT (=&lt;24'999.--)</t>
    </r>
  </si>
  <si>
    <t>https://gever.uvek.intra.admin.ch/uvek/mx/COO.2207.110.4.968487</t>
  </si>
  <si>
    <t>http://www.hermes.admin.ch/szenarien/szenario_03_IT-Standardanwendung/scenario/de/ergebnis_studie.html</t>
  </si>
  <si>
    <t>Architektur Abklärung BIT (Hosting)</t>
  </si>
  <si>
    <t>https://gever.uvek.intra.admin.ch/uvek/mx/COO.2207.110.3.968486</t>
  </si>
  <si>
    <t>http://www.hermes.admin.ch/szenarien/szenario_03_IT-Standardanwendung/scenario/de/ergebnis_rechtsgrundlagenanalyse.html</t>
  </si>
  <si>
    <t>Schutzbedarfsanalyse</t>
  </si>
  <si>
    <t>https://gever.uvek.intra.admin.ch/uvek/mx/COO.2207.110.3.1065135</t>
  </si>
  <si>
    <t>http://www.hermes.admin.ch/szenarien/szenario_03_IT-Standardanwendung/scenario/de/ergebnis_schutzbedarfsanalyse.html</t>
  </si>
  <si>
    <t>https://gever.uvek.intra.admin.ch/uvek/mx/COO.2207.110.3.968485</t>
  </si>
  <si>
    <t>http://www.hermes.admin.ch/szenarien/szenario_03_IT-Standardanwendung/scenario/de/ergebnis_projektauftrag.html</t>
  </si>
  <si>
    <r>
      <t xml:space="preserve">Freigabe </t>
    </r>
    <r>
      <rPr>
        <b/>
        <u/>
        <sz val="9"/>
        <color theme="1"/>
        <rFont val="Arial"/>
        <family val="2"/>
      </rPr>
      <t>Projekt</t>
    </r>
    <r>
      <rPr>
        <b/>
        <sz val="9"/>
        <color theme="1"/>
        <rFont val="Arial"/>
        <family val="2"/>
      </rPr>
      <t>: GL (&gt; CHF 150’000.--) | IT  (=&lt; CHF 150’000.-- )</t>
    </r>
  </si>
  <si>
    <t>Konzept</t>
  </si>
  <si>
    <t>BFE-Beschaffung</t>
  </si>
  <si>
    <t>https://gever.uvek.intra.admin.ch/uvek/mx/COO.2207.110.4.829902</t>
  </si>
  <si>
    <t>https://gever.uvek.intra.admin.ch/uvek/mx/COO.2207.110.3.968530</t>
  </si>
  <si>
    <t>http://www.hermes.admin.ch/onlinepublikation/index.xhtml?element=ergebnis_ausschreibungsunterlagen.html</t>
  </si>
  <si>
    <t>https://gever.uvek.intra.admin.ch/uvek/mx/COO.2207.110.4.968485</t>
  </si>
  <si>
    <t>http://www.hermes.admin.ch/szenarien/szenario_03_IT-Standardanwendung/scenario/de/ergebnis_projektmanagementplan.html</t>
  </si>
  <si>
    <t>Projektstrukturplan</t>
  </si>
  <si>
    <t>https://gever.uvek.intra.admin.ch/uvek/mx/COO.2207.110.3.980920</t>
  </si>
  <si>
    <t>http://www.hermes.admin.ch/szenarien/szenario_03_IT-Standardanwendung/workbreakdownstructure/de/index.html</t>
  </si>
  <si>
    <t>https://gever.uvek.intra.admin.ch/uvek/mx/COO.2207.110.3.1065067</t>
  </si>
  <si>
    <t>http://www.hermes.admin.ch/szenarien/szenario_03_IT-Standardanwendung/scenario/de/ergebnis_situationsanalyse.html</t>
  </si>
  <si>
    <t>https://gever.uvek.intra.admin.ch/uvek/mx/COO.2207.110.2.1065072</t>
  </si>
  <si>
    <t>http://www.hermes.admin.ch/szenarien/szenario_03_IT-Standardanwendung/scenario/de/ergebnis_systemanforderungen.html</t>
  </si>
  <si>
    <t>https://gever.uvek.intra.admin.ch/uvek/mx/COO.2207.110.3.1065074</t>
  </si>
  <si>
    <t>http://www.hermes.admin.ch/szenarien/szenario_03_IT-Standardanwendung/scenario/de/ergebnis_detailstudie.html</t>
  </si>
  <si>
    <t>https://gever.uvek.intra.admin.ch/uvek/mx/COO.2207.110.4.1065083</t>
  </si>
  <si>
    <t>http://www.hermes.admin.ch/szenarien/szenario_03_IT-Standardanwendung/scenario/de/ergebnis_systemarchitektur.html</t>
  </si>
  <si>
    <t>Architekturkonformität abklären BFE/UVEK/Bund</t>
  </si>
  <si>
    <t>https://gever.uvek.intra.admin.ch/uvek/mx/COO.2207.110.2.1065084</t>
  </si>
  <si>
    <t>http://www.hermes.admin.ch/szenarien/szenario_03_IT-Standardanwendung/scenario/de/ergebnis_geschaeftsorganisationskonzept.html</t>
  </si>
  <si>
    <t>https://gever.uvek.intra.admin.ch/uvek/mx/COO.2207.110.4.1065103</t>
  </si>
  <si>
    <t>http://www.hermes.admin.ch/szenarien/szenario_03_IT-Standardanwendung/scenario/de/ergebnis_einfuehrungskonzept.html</t>
  </si>
  <si>
    <t>https://gever.uvek.intra.admin.ch/uvek/mx/COO.2207.110.3.1065107</t>
  </si>
  <si>
    <t>http://www.hermes.admin.ch/szenarien/szenario_03_IT-Standardanwendung/scenario/de/ergebnis_betriebskonzept.html</t>
  </si>
  <si>
    <t>https://gever.uvek.intra.admin.ch/uvek/mx/COO.2207.110.4.1065118</t>
  </si>
  <si>
    <t>http://www.hermes.admin.ch/szenarien/szenario_03_IT-Standardanwendung/scenario/de/ergebnis_migrationskonzept.html</t>
  </si>
  <si>
    <t>Testkonzept</t>
  </si>
  <si>
    <t>https://gever.uvek.intra.admin.ch/uvek/mx/COO.2207.110.3.1065133</t>
  </si>
  <si>
    <t>http://www.hermes.admin.ch/szenarien/szenario_03_IT-Standardanwendung/scenario/de/ergebnis_testkonzept.html</t>
  </si>
  <si>
    <t>Realisierung</t>
  </si>
  <si>
    <t>https://gever.uvek.intra.admin.ch/uvek/mx/COO.2207.110.3.968534</t>
  </si>
  <si>
    <t>http://www.hermes.admin.ch/szenarien/szenario_03_IT-Standardanwendung/scenario/de/ergebnis_abnahmeprotokoll.html</t>
  </si>
  <si>
    <t>Keine Form-Vorgabe</t>
  </si>
  <si>
    <t>http://www.hermes.admin.ch/szenarien/szenario_03_IT-Standardanwendung/scenario/de/ergebnis_anwendungshandbuch.html</t>
  </si>
  <si>
    <t>Betriebshandbuch</t>
  </si>
  <si>
    <t>https://gever.uvek.intra.admin.ch/uvek/mx/COO.2207.110.4.1065134</t>
  </si>
  <si>
    <t>http://www.hermes.admin.ch/szenarien/szenario_03_IT-Standardanwendung/scenario/de/ergebnis_betriebshandbuch.html</t>
  </si>
  <si>
    <t>Einführung</t>
  </si>
  <si>
    <t>https://gever.uvek.intra.admin.ch/uvek/mx/COO.2207.110.4.968486</t>
  </si>
  <si>
    <t>http://www.hermes.admin.ch/szenarien/szenario_03_IT-Standardanwendung/scenario/de/ergebnis_projektschlussbeurteilung.html</t>
  </si>
  <si>
    <t>BFE Beispiele</t>
  </si>
  <si>
    <t>Projekt</t>
  </si>
  <si>
    <t>Beispiel</t>
  </si>
  <si>
    <t>Vollzugstool CO2-Emissionsvorschriften für Personenwagen</t>
  </si>
  <si>
    <t>https://gever.uvek.intra.admin.ch/uvek/mx/COO.2207.110.4.921009</t>
  </si>
  <si>
    <t>Energieberatung für KMU</t>
  </si>
  <si>
    <t>https://gever.uvek.intra.admin.ch/uvek/mx/COO.2207.110.3.1050253</t>
  </si>
  <si>
    <t>netstyle.ch</t>
  </si>
  <si>
    <t>https://gever.uvek.intra.admin.ch/uvek/mx/COO.2207.110.4.1020478</t>
  </si>
  <si>
    <t>PLZ Datenbank ECH</t>
  </si>
  <si>
    <t>https://gever.uvek.intra.admin.ch/uvek/mx/COO.2207.110.2.1052073</t>
  </si>
  <si>
    <t>klassifiziert</t>
  </si>
  <si>
    <t>Migration Collaboration Plattformen</t>
  </si>
  <si>
    <t>https://gever.uvek.intra.admin.ch/uvek/mx/COO.2207.110.3.1055699</t>
  </si>
  <si>
    <t>Energiecheck</t>
  </si>
  <si>
    <t>https://gever.uvek.intra.admin.ch/uvek/mx/COO.2207.110.3.46231</t>
  </si>
  <si>
    <t>eCH Website Migration</t>
  </si>
  <si>
    <t>https://gever.uvek.intra.admin.ch/uvek/mx/COO.2207.110.4.866524</t>
  </si>
  <si>
    <t>https://gever.uvek.intra.admin.ch/uvek/mx/COO.2207.110.4.1065180</t>
  </si>
  <si>
    <t>PCS BFE</t>
  </si>
  <si>
    <t>https://gever.uvek.intra.admin.ch/uvek/mx/COO.2207.110.3.1101974</t>
  </si>
  <si>
    <t>https://gever.uvek.intra.admin.ch/uvek/mx/COO.2207.110.2.1101974</t>
  </si>
  <si>
    <t>https://gever.uvek.intra.admin.ch/uvek/mx/COO.2207.110.3.1065194</t>
  </si>
  <si>
    <t>https://gever.uvek.intra.admin.ch/uvek/mx/COO.2207.110.3.1101932</t>
  </si>
  <si>
    <t>https://gever.uvek.intra.admin.ch/uvek/mx/COO.2207.110.4.1065194</t>
  </si>
  <si>
    <t>UCC</t>
  </si>
  <si>
    <t>https://gever.uvek.intra.admin.ch/uvek/mx/COO.2207.110.2.1032224</t>
  </si>
  <si>
    <t>Nach Erstellung</t>
  </si>
  <si>
    <t>https://gever.uvek.intra.admin.ch/uvek/mx/COO.2207.110.4.831643</t>
  </si>
  <si>
    <t>SAP Fakturalösung</t>
  </si>
  <si>
    <t>https://gever.uvek.intra.admin.ch/uvek/mx/COO.2207.110.2.1065209</t>
  </si>
  <si>
    <t>Mayoris R3</t>
  </si>
  <si>
    <t>https://gever.uvek.intra.admin.ch/uvek/mx/COO.2207.110.4.738608</t>
  </si>
  <si>
    <t>Videokonferenzsystem BFE</t>
  </si>
  <si>
    <t>https://gever.uvek.intra.admin.ch/uvek/mx/COO.2207.110.2.1001594</t>
  </si>
  <si>
    <t>Energie-Daten - Wiki</t>
  </si>
  <si>
    <t>https://gever.uvek.intra.admin.ch/uvek/mx/COO.2207.110.3.1060603</t>
  </si>
  <si>
    <t>BBL</t>
  </si>
  <si>
    <t>Muss Ergebnisse BFE</t>
  </si>
  <si>
    <t>Eckdaten Projekt</t>
  </si>
  <si>
    <t>Projektauftraggeber/in:</t>
  </si>
  <si>
    <t>Projektleiter/in:</t>
  </si>
  <si>
    <t>WTO:</t>
  </si>
  <si>
    <t>Leistungserbringer:</t>
  </si>
  <si>
    <t>Externe:</t>
  </si>
  <si>
    <t>Antrag IKT-Vorhabenportfolio</t>
  </si>
  <si>
    <r>
      <rPr>
        <b/>
        <sz val="11"/>
        <color indexed="8"/>
        <rFont val="Arial"/>
        <family val="2"/>
      </rPr>
      <t>Abnahme</t>
    </r>
    <r>
      <rPr>
        <b/>
        <sz val="9"/>
        <color indexed="8"/>
        <rFont val="Arial"/>
        <family val="2"/>
      </rPr>
      <t xml:space="preserve">
V1.0</t>
    </r>
  </si>
  <si>
    <r>
      <t xml:space="preserve">Dauer
</t>
    </r>
    <r>
      <rPr>
        <sz val="7"/>
        <color indexed="8"/>
        <rFont val="Arial"/>
        <family val="2"/>
      </rPr>
      <t>(in Tage)</t>
    </r>
  </si>
  <si>
    <r>
      <t xml:space="preserve">Verzug
</t>
    </r>
    <r>
      <rPr>
        <sz val="7"/>
        <color indexed="8"/>
        <rFont val="Arial"/>
        <family val="2"/>
      </rPr>
      <t>(in Tage)</t>
    </r>
  </si>
  <si>
    <t>Checkliste</t>
  </si>
  <si>
    <t>Checklisten Muss-Dokumente HERMES</t>
  </si>
  <si>
    <t>HERMES Vorlage:</t>
  </si>
  <si>
    <t>Genehmigung vorhanden:</t>
  </si>
  <si>
    <t>Fristgerecht:</t>
  </si>
  <si>
    <t>Formal vollständig:</t>
  </si>
  <si>
    <t>Eintrag IKT-Cockpit:</t>
  </si>
  <si>
    <t>Ja</t>
  </si>
  <si>
    <t>Nein</t>
  </si>
  <si>
    <t>Freigabe Initialisierungsphase</t>
  </si>
  <si>
    <t>Freigabe Projekt</t>
  </si>
  <si>
    <t>Architekturkonformität BIT</t>
  </si>
  <si>
    <t>IT-Beschaffungsformular</t>
  </si>
  <si>
    <t>Schuban</t>
  </si>
  <si>
    <t>Resultat Ergebnis:</t>
  </si>
  <si>
    <t>Abschluss IKT-Cockpit:</t>
  </si>
  <si>
    <t>Abnahme visiert:</t>
  </si>
  <si>
    <t>Visum Leitung IT:</t>
  </si>
  <si>
    <t>Abnahme Auftraggeber:</t>
  </si>
  <si>
    <t>Einbezug Rechtsdienst:</t>
  </si>
  <si>
    <t>Erstellt mit ISBO:</t>
  </si>
  <si>
    <t>Abnahme Schott?</t>
  </si>
  <si>
    <t>Bestätigung BIT:</t>
  </si>
  <si>
    <t>Amts-Architekt IT?</t>
  </si>
  <si>
    <t>Abnahme Projektleiter:</t>
  </si>
  <si>
    <t>Datum 
Erstellung</t>
  </si>
  <si>
    <t>Datum 
Abnahme</t>
  </si>
  <si>
    <t>IT-Leiter/in:</t>
  </si>
  <si>
    <t>IT-Sicherheit:</t>
  </si>
  <si>
    <t>Rechtsdienst:</t>
  </si>
  <si>
    <t>Beat Schöni</t>
  </si>
  <si>
    <t>Christoph Hug</t>
  </si>
  <si>
    <t>Simon Iseli</t>
  </si>
  <si>
    <t>QS:</t>
  </si>
  <si>
    <t>Start*</t>
  </si>
  <si>
    <t>Christoph Schreyer</t>
  </si>
  <si>
    <t>Martin Hertach</t>
  </si>
  <si>
    <t>Swisstopo</t>
  </si>
  <si>
    <t>Chris</t>
  </si>
  <si>
    <t>Amun</t>
  </si>
  <si>
    <t>Ürsu</t>
  </si>
  <si>
    <t>Jänu</t>
  </si>
  <si>
    <t>Projektstrukturplan: DigiBP</t>
  </si>
  <si>
    <t>Dokumentation Vorhaben</t>
  </si>
  <si>
    <t>Andreas Martin</t>
  </si>
  <si>
    <t>Group Formation</t>
  </si>
  <si>
    <t>alle</t>
  </si>
  <si>
    <t>AsIs</t>
  </si>
  <si>
    <t>AsIs Process</t>
  </si>
  <si>
    <t>Project Start</t>
  </si>
  <si>
    <t>ToBe Process</t>
  </si>
  <si>
    <t>Documentation</t>
  </si>
  <si>
    <t>Admin</t>
  </si>
  <si>
    <t>Projekct Start</t>
  </si>
  <si>
    <t>ToBe</t>
  </si>
  <si>
    <t>GitHub SetUp</t>
  </si>
  <si>
    <t>Presentation</t>
  </si>
  <si>
    <t>Video</t>
  </si>
  <si>
    <t>Project Tracking</t>
  </si>
  <si>
    <t>Draw Process</t>
  </si>
  <si>
    <t>DMM Tables</t>
  </si>
  <si>
    <t>OCR Recognition</t>
  </si>
  <si>
    <t>Mockup Recipe</t>
  </si>
  <si>
    <t>Describe Process</t>
  </si>
  <si>
    <t>Identify Areas to improve (ToBe Process</t>
  </si>
  <si>
    <t>Amun, Jänu</t>
  </si>
  <si>
    <t>Chris, Ürsu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</si>
</sst>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4" x14ac:knownFonts="1">
    <font>
      <sz val="11"/>
      <color indexed="8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  <scheme val="minor"/>
    </font>
    <font>
      <b/>
      <sz val="22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9" tint="-0.249977111117893"/>
      <name val="Arial"/>
      <family val="2"/>
    </font>
    <font>
      <i/>
      <sz val="10"/>
      <color theme="9" tint="-0.249977111117893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name val="Arial"/>
      <family val="2"/>
    </font>
    <font>
      <sz val="11"/>
      <color rgb="FF9C6500"/>
      <name val="Calibri"/>
      <family val="2"/>
      <scheme val="minor"/>
    </font>
    <font>
      <sz val="9"/>
      <color rgb="FF9C0006"/>
      <name val="Calibri"/>
      <family val="2"/>
      <scheme val="minor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i/>
      <sz val="9"/>
      <color rgb="FFC00000"/>
      <name val="Arial"/>
      <family val="2"/>
    </font>
    <font>
      <sz val="9"/>
      <color theme="1"/>
      <name val="Arial"/>
      <family val="2"/>
    </font>
    <font>
      <u/>
      <sz val="9"/>
      <color theme="1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u/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theme="9"/>
      <name val="Arial"/>
      <family val="2"/>
    </font>
    <font>
      <b/>
      <sz val="22"/>
      <color indexed="8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i/>
      <sz val="9"/>
      <name val="Arial"/>
      <family val="2"/>
    </font>
    <font>
      <sz val="7"/>
      <color indexed="8"/>
      <name val="Arial"/>
      <family val="2"/>
    </font>
    <font>
      <i/>
      <sz val="10"/>
      <color rgb="FFC00000"/>
      <name val="Arial"/>
      <family val="2"/>
    </font>
    <font>
      <i/>
      <sz val="10"/>
      <color theme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B8CCE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E0EC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604A7B"/>
      </left>
      <right/>
      <top style="thin">
        <color rgb="FF604A7B"/>
      </top>
      <bottom style="thin">
        <color rgb="FF604A7B"/>
      </bottom>
      <diagonal/>
    </border>
    <border>
      <left/>
      <right/>
      <top style="thin">
        <color rgb="FF604A7B"/>
      </top>
      <bottom style="thin">
        <color rgb="FF604A7B"/>
      </bottom>
      <diagonal/>
    </border>
    <border>
      <left/>
      <right style="thin">
        <color rgb="FF604A7B"/>
      </right>
      <top style="thin">
        <color rgb="FF604A7B"/>
      </top>
      <bottom style="thin">
        <color rgb="FF604A7B"/>
      </bottom>
      <diagonal/>
    </border>
    <border>
      <left style="thin">
        <color rgb="FFF79646"/>
      </left>
      <right/>
      <top style="thin">
        <color rgb="FFF79646"/>
      </top>
      <bottom style="thin">
        <color rgb="FFF79646"/>
      </bottom>
      <diagonal/>
    </border>
    <border>
      <left/>
      <right/>
      <top style="thin">
        <color rgb="FFF79646"/>
      </top>
      <bottom style="thin">
        <color rgb="FFF79646"/>
      </bottom>
      <diagonal/>
    </border>
    <border>
      <left/>
      <right style="thin">
        <color rgb="FFF79646"/>
      </right>
      <top style="thin">
        <color rgb="FFF79646"/>
      </top>
      <bottom style="thin">
        <color rgb="FFF7964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17" fillId="2" borderId="0" applyNumberFormat="0" applyBorder="0" applyAlignment="0" applyProtection="0"/>
    <xf numFmtId="0" fontId="1" fillId="0" borderId="0"/>
    <xf numFmtId="0" fontId="23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7" fillId="2" borderId="0" applyNumberFormat="0" applyBorder="0" applyAlignment="0" applyProtection="0"/>
    <xf numFmtId="0" fontId="20" fillId="3" borderId="0" applyNumberFormat="0" applyBorder="0" applyAlignment="0" applyProtection="0"/>
    <xf numFmtId="0" fontId="1" fillId="0" borderId="0"/>
    <xf numFmtId="0" fontId="30" fillId="0" borderId="0"/>
  </cellStyleXfs>
  <cellXfs count="208">
    <xf numFmtId="0" fontId="0" fillId="0" borderId="0" xfId="0"/>
    <xf numFmtId="0" fontId="4" fillId="0" borderId="0" xfId="0" applyFont="1"/>
    <xf numFmtId="0" fontId="0" fillId="0" borderId="0" xfId="0" applyFont="1"/>
    <xf numFmtId="0" fontId="0" fillId="4" borderId="0" xfId="0" applyFill="1"/>
    <xf numFmtId="3" fontId="0" fillId="0" borderId="0" xfId="0" applyNumberFormat="1"/>
    <xf numFmtId="0" fontId="0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6" fillId="0" borderId="0" xfId="0" applyNumberFormat="1" applyFont="1"/>
    <xf numFmtId="0" fontId="6" fillId="0" borderId="0" xfId="0" applyNumberFormat="1" applyFont="1"/>
    <xf numFmtId="0" fontId="0" fillId="0" borderId="0" xfId="0" applyFill="1"/>
    <xf numFmtId="0" fontId="7" fillId="5" borderId="0" xfId="0" applyFont="1" applyFill="1"/>
    <xf numFmtId="0" fontId="7" fillId="5" borderId="0" xfId="0" applyFont="1" applyFill="1" applyAlignment="1"/>
    <xf numFmtId="0" fontId="8" fillId="5" borderId="0" xfId="0" applyFont="1" applyFill="1" applyAlignment="1"/>
    <xf numFmtId="0" fontId="9" fillId="4" borderId="0" xfId="0" applyFont="1" applyFill="1" applyAlignment="1">
      <alignment horizontal="center"/>
    </xf>
    <xf numFmtId="0" fontId="7" fillId="0" borderId="0" xfId="0" applyFont="1" applyFill="1" applyAlignment="1">
      <alignment vertical="center"/>
    </xf>
    <xf numFmtId="0" fontId="10" fillId="0" borderId="0" xfId="0" applyFont="1" applyFill="1" applyAlignment="1">
      <alignment vertical="center" textRotation="90" wrapText="1"/>
    </xf>
    <xf numFmtId="49" fontId="0" fillId="4" borderId="0" xfId="0" applyNumberFormat="1" applyFill="1" applyAlignment="1">
      <alignment horizontal="center" vertical="center" textRotation="90"/>
    </xf>
    <xf numFmtId="3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Fill="1" applyAlignment="1">
      <alignment vertical="center"/>
    </xf>
    <xf numFmtId="0" fontId="14" fillId="6" borderId="0" xfId="0" applyFont="1" applyFill="1"/>
    <xf numFmtId="0" fontId="0" fillId="4" borderId="0" xfId="0" applyFill="1" applyAlignment="1">
      <alignment wrapText="1"/>
    </xf>
    <xf numFmtId="0" fontId="15" fillId="0" borderId="0" xfId="0" applyFont="1"/>
    <xf numFmtId="0" fontId="16" fillId="4" borderId="0" xfId="0" applyFont="1" applyFill="1" applyAlignment="1">
      <alignment wrapText="1"/>
    </xf>
    <xf numFmtId="14" fontId="12" fillId="0" borderId="0" xfId="0" applyNumberFormat="1" applyFont="1" applyFill="1"/>
    <xf numFmtId="0" fontId="13" fillId="0" borderId="0" xfId="0" applyFont="1" applyFill="1" applyAlignment="1">
      <alignment horizontal="center"/>
    </xf>
    <xf numFmtId="3" fontId="6" fillId="0" borderId="0" xfId="0" applyNumberFormat="1" applyFont="1" applyFill="1"/>
    <xf numFmtId="14" fontId="6" fillId="0" borderId="0" xfId="0" applyNumberFormat="1" applyFont="1" applyFill="1"/>
    <xf numFmtId="14" fontId="5" fillId="0" borderId="0" xfId="0" applyNumberFormat="1" applyFont="1" applyFill="1"/>
    <xf numFmtId="0" fontId="18" fillId="0" borderId="0" xfId="0" applyFont="1" applyFill="1" applyAlignment="1">
      <alignment horizontal="center"/>
    </xf>
    <xf numFmtId="3" fontId="13" fillId="0" borderId="0" xfId="0" applyNumberFormat="1" applyFont="1" applyFill="1"/>
    <xf numFmtId="0" fontId="13" fillId="0" borderId="0" xfId="0" applyNumberFormat="1" applyFont="1" applyFill="1"/>
    <xf numFmtId="0" fontId="6" fillId="0" borderId="0" xfId="0" applyFont="1" applyFill="1" applyAlignment="1">
      <alignment horizontal="center"/>
    </xf>
    <xf numFmtId="3" fontId="21" fillId="0" borderId="0" xfId="2" applyNumberFormat="1" applyFont="1" applyFill="1"/>
    <xf numFmtId="3" fontId="21" fillId="0" borderId="0" xfId="2" applyNumberFormat="1" applyFont="1" applyFill="1" applyBorder="1"/>
    <xf numFmtId="14" fontId="21" fillId="0" borderId="0" xfId="2" applyNumberFormat="1" applyFont="1" applyFill="1"/>
    <xf numFmtId="0" fontId="6" fillId="0" borderId="0" xfId="0" applyNumberFormat="1" applyFont="1" applyFill="1"/>
    <xf numFmtId="0" fontId="18" fillId="0" borderId="0" xfId="0" applyNumberFormat="1" applyFont="1" applyFill="1"/>
    <xf numFmtId="0" fontId="5" fillId="0" borderId="0" xfId="0" applyFont="1" applyFill="1"/>
    <xf numFmtId="0" fontId="1" fillId="0" borderId="0" xfId="9"/>
    <xf numFmtId="0" fontId="1" fillId="7" borderId="1" xfId="9" applyFill="1" applyBorder="1" applyAlignment="1">
      <alignment horizontal="center"/>
    </xf>
    <xf numFmtId="0" fontId="1" fillId="7" borderId="1" xfId="9" applyFill="1" applyBorder="1" applyAlignment="1">
      <alignment horizontal="left"/>
    </xf>
    <xf numFmtId="0" fontId="1" fillId="7" borderId="1" xfId="9" applyFill="1" applyBorder="1" applyAlignment="1">
      <alignment horizontal="center" vertical="center"/>
    </xf>
    <xf numFmtId="164" fontId="25" fillId="0" borderId="1" xfId="9" applyNumberFormat="1" applyFont="1" applyBorder="1" applyAlignment="1">
      <alignment horizontal="center"/>
    </xf>
    <xf numFmtId="0" fontId="25" fillId="0" borderId="1" xfId="9" applyFont="1" applyBorder="1"/>
    <xf numFmtId="0" fontId="26" fillId="0" borderId="1" xfId="4" applyFont="1" applyBorder="1"/>
    <xf numFmtId="0" fontId="26" fillId="0" borderId="1" xfId="4" applyFont="1" applyBorder="1" applyAlignment="1">
      <alignment wrapText="1"/>
    </xf>
    <xf numFmtId="2" fontId="25" fillId="0" borderId="1" xfId="9" applyNumberFormat="1" applyFont="1" applyBorder="1" applyAlignment="1">
      <alignment horizontal="center"/>
    </xf>
    <xf numFmtId="0" fontId="25" fillId="0" borderId="1" xfId="9" applyFont="1" applyBorder="1" applyAlignment="1">
      <alignment horizontal="center"/>
    </xf>
    <xf numFmtId="0" fontId="25" fillId="0" borderId="1" xfId="9" applyFont="1" applyBorder="1" applyAlignment="1">
      <alignment horizontal="center" vertical="center"/>
    </xf>
    <xf numFmtId="164" fontId="25" fillId="0" borderId="7" xfId="9" applyNumberFormat="1" applyFont="1" applyBorder="1" applyAlignment="1">
      <alignment horizontal="center"/>
    </xf>
    <xf numFmtId="0" fontId="25" fillId="0" borderId="7" xfId="9" applyFont="1" applyBorder="1"/>
    <xf numFmtId="0" fontId="26" fillId="0" borderId="7" xfId="4" applyFont="1" applyBorder="1" applyAlignment="1">
      <alignment wrapText="1"/>
    </xf>
    <xf numFmtId="0" fontId="26" fillId="0" borderId="7" xfId="4" applyFont="1" applyBorder="1"/>
    <xf numFmtId="164" fontId="25" fillId="0" borderId="8" xfId="9" applyNumberFormat="1" applyFont="1" applyBorder="1" applyAlignment="1">
      <alignment horizontal="center"/>
    </xf>
    <xf numFmtId="0" fontId="25" fillId="0" borderId="8" xfId="9" applyFont="1" applyBorder="1"/>
    <xf numFmtId="0" fontId="26" fillId="0" borderId="8" xfId="4" applyFont="1" applyBorder="1" applyAlignment="1">
      <alignment wrapText="1"/>
    </xf>
    <xf numFmtId="0" fontId="26" fillId="0" borderId="8" xfId="4" applyFont="1" applyBorder="1"/>
    <xf numFmtId="164" fontId="25" fillId="0" borderId="9" xfId="9" applyNumberFormat="1" applyFont="1" applyBorder="1" applyAlignment="1">
      <alignment horizontal="center"/>
    </xf>
    <xf numFmtId="0" fontId="25" fillId="0" borderId="9" xfId="9" applyFont="1" applyBorder="1"/>
    <xf numFmtId="0" fontId="26" fillId="0" borderId="9" xfId="4" applyFont="1" applyBorder="1" applyAlignment="1">
      <alignment wrapText="1"/>
    </xf>
    <xf numFmtId="0" fontId="26" fillId="0" borderId="9" xfId="4" applyFont="1" applyBorder="1"/>
    <xf numFmtId="164" fontId="25" fillId="14" borderId="13" xfId="9" applyNumberFormat="1" applyFont="1" applyFill="1" applyBorder="1" applyAlignment="1">
      <alignment horizontal="center" vertical="center"/>
    </xf>
    <xf numFmtId="0" fontId="1" fillId="7" borderId="7" xfId="9" applyFill="1" applyBorder="1" applyAlignment="1">
      <alignment horizontal="center"/>
    </xf>
    <xf numFmtId="0" fontId="1" fillId="7" borderId="7" xfId="9" applyFill="1" applyBorder="1" applyAlignment="1">
      <alignment horizontal="left"/>
    </xf>
    <xf numFmtId="164" fontId="25" fillId="14" borderId="14" xfId="9" applyNumberFormat="1" applyFont="1" applyFill="1" applyBorder="1" applyAlignment="1">
      <alignment vertical="center"/>
    </xf>
    <xf numFmtId="164" fontId="25" fillId="14" borderId="15" xfId="9" applyNumberFormat="1" applyFont="1" applyFill="1" applyBorder="1" applyAlignment="1">
      <alignment vertical="center"/>
    </xf>
    <xf numFmtId="0" fontId="26" fillId="14" borderId="14" xfId="4" applyFont="1" applyFill="1" applyBorder="1" applyAlignment="1">
      <alignment vertical="center" wrapText="1"/>
    </xf>
    <xf numFmtId="0" fontId="1" fillId="0" borderId="0" xfId="9"/>
    <xf numFmtId="0" fontId="1" fillId="7" borderId="1" xfId="9" applyFill="1" applyBorder="1" applyAlignment="1">
      <alignment horizontal="center"/>
    </xf>
    <xf numFmtId="0" fontId="1" fillId="7" borderId="1" xfId="9" applyFill="1" applyBorder="1" applyAlignment="1">
      <alignment horizontal="left"/>
    </xf>
    <xf numFmtId="164" fontId="25" fillId="0" borderId="1" xfId="9" applyNumberFormat="1" applyFont="1" applyBorder="1" applyAlignment="1">
      <alignment horizontal="center"/>
    </xf>
    <xf numFmtId="0" fontId="26" fillId="0" borderId="1" xfId="4" applyFont="1" applyBorder="1"/>
    <xf numFmtId="2" fontId="25" fillId="0" borderId="1" xfId="9" applyNumberFormat="1" applyFont="1" applyBorder="1" applyAlignment="1">
      <alignment horizontal="center"/>
    </xf>
    <xf numFmtId="0" fontId="25" fillId="0" borderId="1" xfId="9" applyFont="1" applyBorder="1" applyAlignment="1">
      <alignment horizontal="center"/>
    </xf>
    <xf numFmtId="0" fontId="25" fillId="0" borderId="1" xfId="9" applyFont="1" applyBorder="1" applyAlignment="1">
      <alignment horizontal="center" vertical="center"/>
    </xf>
    <xf numFmtId="0" fontId="27" fillId="0" borderId="1" xfId="4" applyFont="1" applyBorder="1"/>
    <xf numFmtId="0" fontId="27" fillId="0" borderId="1" xfId="4" applyFont="1" applyBorder="1" applyAlignment="1">
      <alignment wrapText="1"/>
    </xf>
    <xf numFmtId="0" fontId="27" fillId="0" borderId="1" xfId="9" applyFont="1" applyBorder="1"/>
    <xf numFmtId="0" fontId="25" fillId="7" borderId="1" xfId="9" applyFont="1" applyFill="1" applyBorder="1" applyAlignment="1">
      <alignment horizontal="center" vertical="center"/>
    </xf>
    <xf numFmtId="0" fontId="25" fillId="7" borderId="1" xfId="9" applyFont="1" applyFill="1" applyBorder="1" applyAlignment="1">
      <alignment horizontal="left"/>
    </xf>
    <xf numFmtId="164" fontId="25" fillId="0" borderId="7" xfId="9" applyNumberFormat="1" applyFont="1" applyBorder="1" applyAlignment="1">
      <alignment horizontal="center"/>
    </xf>
    <xf numFmtId="0" fontId="26" fillId="0" borderId="7" xfId="4" applyFont="1" applyBorder="1"/>
    <xf numFmtId="164" fontId="25" fillId="0" borderId="8" xfId="9" applyNumberFormat="1" applyFont="1" applyBorder="1" applyAlignment="1">
      <alignment horizontal="center"/>
    </xf>
    <xf numFmtId="0" fontId="26" fillId="0" borderId="8" xfId="4" applyFont="1" applyBorder="1"/>
    <xf numFmtId="164" fontId="25" fillId="0" borderId="9" xfId="9" applyNumberFormat="1" applyFont="1" applyBorder="1" applyAlignment="1">
      <alignment horizontal="center"/>
    </xf>
    <xf numFmtId="0" fontId="26" fillId="0" borderId="9" xfId="4" applyFont="1" applyBorder="1"/>
    <xf numFmtId="164" fontId="25" fillId="14" borderId="13" xfId="9" applyNumberFormat="1" applyFont="1" applyFill="1" applyBorder="1" applyAlignment="1">
      <alignment horizontal="center" vertical="center"/>
    </xf>
    <xf numFmtId="0" fontId="1" fillId="7" borderId="7" xfId="9" applyFill="1" applyBorder="1" applyAlignment="1">
      <alignment horizontal="center"/>
    </xf>
    <xf numFmtId="0" fontId="1" fillId="7" borderId="7" xfId="9" applyFill="1" applyBorder="1" applyAlignment="1">
      <alignment horizontal="left"/>
    </xf>
    <xf numFmtId="164" fontId="25" fillId="14" borderId="14" xfId="9" applyNumberFormat="1" applyFont="1" applyFill="1" applyBorder="1" applyAlignment="1">
      <alignment vertical="center"/>
    </xf>
    <xf numFmtId="164" fontId="25" fillId="14" borderId="15" xfId="9" applyNumberFormat="1" applyFont="1" applyFill="1" applyBorder="1" applyAlignment="1">
      <alignment vertical="center"/>
    </xf>
    <xf numFmtId="0" fontId="27" fillId="0" borderId="7" xfId="4" applyFont="1" applyBorder="1" applyAlignment="1">
      <alignment wrapText="1"/>
    </xf>
    <xf numFmtId="0" fontId="27" fillId="0" borderId="8" xfId="4" applyFont="1" applyBorder="1" applyAlignment="1">
      <alignment wrapText="1"/>
    </xf>
    <xf numFmtId="0" fontId="27" fillId="0" borderId="9" xfId="4" applyFont="1" applyBorder="1" applyAlignment="1">
      <alignment wrapText="1"/>
    </xf>
    <xf numFmtId="0" fontId="27" fillId="0" borderId="7" xfId="4" applyFont="1" applyBorder="1"/>
    <xf numFmtId="0" fontId="27" fillId="0" borderId="8" xfId="4" applyFont="1" applyBorder="1"/>
    <xf numFmtId="0" fontId="27" fillId="0" borderId="1" xfId="4" applyFont="1" applyFill="1" applyBorder="1"/>
    <xf numFmtId="0" fontId="26" fillId="0" borderId="1" xfId="4" applyFont="1" applyFill="1" applyBorder="1"/>
    <xf numFmtId="0" fontId="26" fillId="14" borderId="14" xfId="4" applyFont="1" applyFill="1" applyBorder="1" applyAlignment="1">
      <alignment vertical="center"/>
    </xf>
    <xf numFmtId="0" fontId="25" fillId="0" borderId="1" xfId="9" applyFont="1" applyFill="1" applyBorder="1"/>
    <xf numFmtId="0" fontId="25" fillId="0" borderId="7" xfId="9" applyFont="1" applyFill="1" applyBorder="1"/>
    <xf numFmtId="0" fontId="25" fillId="0" borderId="9" xfId="9" applyFont="1" applyFill="1" applyBorder="1"/>
    <xf numFmtId="0" fontId="25" fillId="0" borderId="8" xfId="9" applyFont="1" applyFill="1" applyBorder="1"/>
    <xf numFmtId="0" fontId="19" fillId="6" borderId="0" xfId="0" applyFont="1" applyFill="1"/>
    <xf numFmtId="0" fontId="31" fillId="0" borderId="0" xfId="0" applyFont="1"/>
    <xf numFmtId="0" fontId="33" fillId="0" borderId="0" xfId="0" applyFont="1"/>
    <xf numFmtId="0" fontId="25" fillId="0" borderId="17" xfId="9" applyFont="1" applyFill="1" applyBorder="1"/>
    <xf numFmtId="164" fontId="25" fillId="0" borderId="18" xfId="9" applyNumberFormat="1" applyFont="1" applyFill="1" applyBorder="1" applyAlignment="1">
      <alignment horizontal="center"/>
    </xf>
    <xf numFmtId="2" fontId="25" fillId="0" borderId="18" xfId="9" applyNumberFormat="1" applyFont="1" applyFill="1" applyBorder="1" applyAlignment="1">
      <alignment horizontal="center"/>
    </xf>
    <xf numFmtId="0" fontId="25" fillId="0" borderId="18" xfId="9" applyFont="1" applyFill="1" applyBorder="1" applyAlignment="1">
      <alignment horizontal="center"/>
    </xf>
    <xf numFmtId="0" fontId="25" fillId="0" borderId="19" xfId="9" applyFont="1" applyFill="1" applyBorder="1"/>
    <xf numFmtId="0" fontId="25" fillId="0" borderId="20" xfId="9" applyFont="1" applyFill="1" applyBorder="1" applyAlignment="1">
      <alignment horizontal="center" vertical="center"/>
    </xf>
    <xf numFmtId="0" fontId="33" fillId="0" borderId="4" xfId="0" applyFont="1" applyBorder="1"/>
    <xf numFmtId="0" fontId="33" fillId="0" borderId="17" xfId="0" applyFont="1" applyBorder="1"/>
    <xf numFmtId="0" fontId="33" fillId="0" borderId="18" xfId="0" applyFont="1" applyBorder="1"/>
    <xf numFmtId="0" fontId="33" fillId="0" borderId="19" xfId="0" applyFont="1" applyBorder="1"/>
    <xf numFmtId="0" fontId="16" fillId="0" borderId="0" xfId="0" applyFont="1" applyFill="1" applyAlignment="1">
      <alignment horizontal="left" indent="1"/>
    </xf>
    <xf numFmtId="0" fontId="31" fillId="0" borderId="0" xfId="0" applyNumberFormat="1" applyFont="1" applyAlignment="1">
      <alignment horizontal="center" vertical="center" textRotation="90"/>
    </xf>
    <xf numFmtId="0" fontId="31" fillId="6" borderId="0" xfId="0" applyFont="1" applyFill="1"/>
    <xf numFmtId="0" fontId="31" fillId="6" borderId="0" xfId="0" applyFont="1" applyFill="1" applyAlignment="1">
      <alignment textRotation="90" wrapText="1"/>
    </xf>
    <xf numFmtId="0" fontId="16" fillId="0" borderId="0" xfId="0" applyFont="1" applyAlignment="1">
      <alignment horizontal="center"/>
    </xf>
    <xf numFmtId="0" fontId="33" fillId="6" borderId="0" xfId="0" applyFont="1" applyFill="1"/>
    <xf numFmtId="0" fontId="36" fillId="0" borderId="0" xfId="0" applyFont="1"/>
    <xf numFmtId="0" fontId="34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0" fontId="32" fillId="6" borderId="0" xfId="0" applyFont="1" applyFill="1" applyAlignment="1">
      <alignment wrapText="1"/>
    </xf>
    <xf numFmtId="9" fontId="33" fillId="0" borderId="0" xfId="0" applyNumberFormat="1" applyFont="1"/>
    <xf numFmtId="0" fontId="28" fillId="0" borderId="0" xfId="0" applyFont="1" applyFill="1" applyAlignment="1">
      <alignment horizontal="center" vertical="center"/>
    </xf>
    <xf numFmtId="0" fontId="37" fillId="0" borderId="0" xfId="0" applyFont="1" applyFill="1" applyAlignment="1">
      <alignment horizontal="center" vertical="center"/>
    </xf>
    <xf numFmtId="0" fontId="27" fillId="6" borderId="0" xfId="0" applyNumberFormat="1" applyFont="1" applyFill="1"/>
    <xf numFmtId="0" fontId="27" fillId="0" borderId="0" xfId="0" applyFont="1" applyFill="1" applyAlignment="1">
      <alignment horizontal="center"/>
    </xf>
    <xf numFmtId="0" fontId="39" fillId="6" borderId="0" xfId="0" applyFont="1" applyFill="1" applyAlignment="1">
      <alignment horizontal="center" vertical="center" wrapText="1"/>
    </xf>
    <xf numFmtId="0" fontId="34" fillId="6" borderId="0" xfId="0" applyFont="1" applyFill="1" applyAlignment="1">
      <alignment horizontal="center" vertical="center" wrapText="1"/>
    </xf>
    <xf numFmtId="0" fontId="27" fillId="4" borderId="0" xfId="0" applyFont="1" applyFill="1" applyAlignment="1">
      <alignment wrapText="1"/>
    </xf>
    <xf numFmtId="0" fontId="18" fillId="4" borderId="0" xfId="0" applyFont="1" applyFill="1" applyAlignment="1">
      <alignment wrapText="1"/>
    </xf>
    <xf numFmtId="0" fontId="18" fillId="4" borderId="0" xfId="0" applyFont="1" applyFill="1"/>
    <xf numFmtId="0" fontId="27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3" fillId="6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9" fontId="33" fillId="0" borderId="0" xfId="1" applyNumberFormat="1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14" fontId="25" fillId="0" borderId="0" xfId="0" applyNumberFormat="1" applyFont="1" applyFill="1" applyProtection="1">
      <protection locked="0"/>
    </xf>
    <xf numFmtId="0" fontId="27" fillId="0" borderId="0" xfId="0" applyNumberFormat="1" applyFont="1" applyFill="1" applyProtection="1">
      <protection locked="0"/>
    </xf>
    <xf numFmtId="0" fontId="26" fillId="0" borderId="0" xfId="4" applyFont="1" applyProtection="1">
      <protection locked="0"/>
    </xf>
    <xf numFmtId="0" fontId="33" fillId="0" borderId="6" xfId="0" applyFont="1" applyBorder="1" applyProtection="1">
      <protection locked="0"/>
    </xf>
    <xf numFmtId="0" fontId="33" fillId="0" borderId="18" xfId="0" applyFont="1" applyBorder="1" applyProtection="1">
      <protection locked="0"/>
    </xf>
    <xf numFmtId="0" fontId="33" fillId="0" borderId="20" xfId="0" applyFont="1" applyBorder="1" applyProtection="1">
      <protection locked="0"/>
    </xf>
    <xf numFmtId="0" fontId="26" fillId="0" borderId="0" xfId="4" applyFont="1"/>
    <xf numFmtId="0" fontId="32" fillId="0" borderId="17" xfId="0" applyFont="1" applyBorder="1"/>
    <xf numFmtId="0" fontId="32" fillId="0" borderId="18" xfId="0" applyFont="1" applyBorder="1" applyAlignment="1" applyProtection="1">
      <alignment horizontal="center"/>
      <protection locked="0"/>
    </xf>
    <xf numFmtId="0" fontId="32" fillId="0" borderId="18" xfId="0" applyFont="1" applyBorder="1" applyAlignment="1">
      <alignment horizontal="center"/>
    </xf>
    <xf numFmtId="0" fontId="32" fillId="0" borderId="19" xfId="0" applyFont="1" applyBorder="1" applyAlignment="1">
      <alignment horizontal="right"/>
    </xf>
    <xf numFmtId="0" fontId="32" fillId="0" borderId="20" xfId="0" applyFont="1" applyBorder="1" applyAlignment="1">
      <alignment horizontal="center"/>
    </xf>
    <xf numFmtId="0" fontId="42" fillId="0" borderId="17" xfId="0" applyFont="1" applyBorder="1"/>
    <xf numFmtId="0" fontId="32" fillId="0" borderId="0" xfId="0" applyFont="1"/>
    <xf numFmtId="0" fontId="32" fillId="0" borderId="18" xfId="0" applyFont="1" applyBorder="1"/>
    <xf numFmtId="0" fontId="32" fillId="0" borderId="20" xfId="0" applyFont="1" applyBorder="1"/>
    <xf numFmtId="0" fontId="32" fillId="0" borderId="4" xfId="0" applyFont="1" applyBorder="1"/>
    <xf numFmtId="0" fontId="32" fillId="0" borderId="6" xfId="0" applyFont="1" applyBorder="1" applyAlignment="1" applyProtection="1">
      <alignment horizontal="center"/>
      <protection locked="0"/>
    </xf>
    <xf numFmtId="0" fontId="43" fillId="0" borderId="17" xfId="0" applyFont="1" applyBorder="1"/>
    <xf numFmtId="0" fontId="43" fillId="0" borderId="17" xfId="0" applyFont="1" applyFill="1" applyBorder="1"/>
    <xf numFmtId="3" fontId="37" fillId="0" borderId="0" xfId="0" applyNumberFormat="1" applyFont="1" applyFill="1" applyAlignment="1">
      <alignment vertical="center"/>
    </xf>
    <xf numFmtId="0" fontId="37" fillId="0" borderId="0" xfId="0" applyNumberFormat="1" applyFont="1" applyFill="1" applyAlignment="1">
      <alignment vertical="center" wrapText="1"/>
    </xf>
    <xf numFmtId="14" fontId="27" fillId="0" borderId="0" xfId="0" applyNumberFormat="1" applyFont="1" applyFill="1" applyProtection="1">
      <protection locked="0"/>
    </xf>
    <xf numFmtId="0" fontId="27" fillId="0" borderId="0" xfId="0" applyFont="1"/>
    <xf numFmtId="14" fontId="27" fillId="0" borderId="0" xfId="0" applyNumberFormat="1" applyFont="1"/>
    <xf numFmtId="14" fontId="27" fillId="6" borderId="0" xfId="0" applyNumberFormat="1" applyFont="1" applyFill="1"/>
    <xf numFmtId="14" fontId="27" fillId="6" borderId="0" xfId="0" applyNumberFormat="1" applyFont="1" applyFill="1" applyAlignment="1">
      <alignment horizontal="center"/>
    </xf>
    <xf numFmtId="3" fontId="27" fillId="6" borderId="0" xfId="0" applyNumberFormat="1" applyFont="1" applyFill="1"/>
    <xf numFmtId="0" fontId="25" fillId="8" borderId="2" xfId="9" applyFont="1" applyFill="1" applyBorder="1" applyAlignment="1">
      <alignment horizontal="center" vertical="center"/>
    </xf>
    <xf numFmtId="0" fontId="25" fillId="8" borderId="16" xfId="9" applyFont="1" applyFill="1" applyBorder="1" applyAlignment="1">
      <alignment horizontal="center" vertical="center"/>
    </xf>
    <xf numFmtId="0" fontId="25" fillId="8" borderId="3" xfId="9" applyFont="1" applyFill="1" applyBorder="1" applyAlignment="1">
      <alignment horizontal="center" vertical="center"/>
    </xf>
    <xf numFmtId="0" fontId="2" fillId="12" borderId="1" xfId="9" applyFont="1" applyFill="1" applyBorder="1" applyAlignment="1">
      <alignment horizontal="center" vertical="center"/>
    </xf>
    <xf numFmtId="0" fontId="22" fillId="8" borderId="2" xfId="9" applyFont="1" applyFill="1" applyBorder="1" applyAlignment="1">
      <alignment horizontal="center" vertical="center"/>
    </xf>
    <xf numFmtId="0" fontId="22" fillId="8" borderId="16" xfId="9" applyFont="1" applyFill="1" applyBorder="1" applyAlignment="1">
      <alignment horizontal="center" vertical="center"/>
    </xf>
    <xf numFmtId="0" fontId="22" fillId="8" borderId="3" xfId="9" applyFont="1" applyFill="1" applyBorder="1" applyAlignment="1">
      <alignment horizontal="center" vertical="center"/>
    </xf>
    <xf numFmtId="0" fontId="2" fillId="9" borderId="1" xfId="9" applyFont="1" applyFill="1" applyBorder="1" applyAlignment="1">
      <alignment horizontal="center" vertical="center"/>
    </xf>
    <xf numFmtId="0" fontId="1" fillId="11" borderId="1" xfId="9" applyFill="1" applyBorder="1" applyAlignment="1">
      <alignment horizontal="center" vertical="center"/>
    </xf>
    <xf numFmtId="0" fontId="1" fillId="10" borderId="1" xfId="9" applyFill="1" applyBorder="1" applyAlignment="1">
      <alignment horizontal="center" vertical="center"/>
    </xf>
    <xf numFmtId="164" fontId="28" fillId="13" borderId="10" xfId="9" applyNumberFormat="1" applyFont="1" applyFill="1" applyBorder="1" applyAlignment="1">
      <alignment horizontal="center" vertical="center"/>
    </xf>
    <xf numFmtId="164" fontId="28" fillId="13" borderId="11" xfId="9" applyNumberFormat="1" applyFont="1" applyFill="1" applyBorder="1" applyAlignment="1">
      <alignment horizontal="center" vertical="center"/>
    </xf>
    <xf numFmtId="164" fontId="28" fillId="13" borderId="12" xfId="9" applyNumberFormat="1" applyFont="1" applyFill="1" applyBorder="1" applyAlignment="1">
      <alignment horizontal="center" vertical="center"/>
    </xf>
    <xf numFmtId="164" fontId="25" fillId="14" borderId="13" xfId="9" applyNumberFormat="1" applyFont="1" applyFill="1" applyBorder="1" applyAlignment="1">
      <alignment horizontal="center" vertical="center"/>
    </xf>
    <xf numFmtId="164" fontId="25" fillId="14" borderId="14" xfId="9" applyNumberFormat="1" applyFont="1" applyFill="1" applyBorder="1" applyAlignment="1">
      <alignment horizontal="center" vertical="center"/>
    </xf>
    <xf numFmtId="164" fontId="25" fillId="14" borderId="15" xfId="9" applyNumberFormat="1" applyFont="1" applyFill="1" applyBorder="1" applyAlignment="1">
      <alignment horizontal="center" vertical="center"/>
    </xf>
    <xf numFmtId="164" fontId="28" fillId="13" borderId="10" xfId="9" applyNumberFormat="1" applyFont="1" applyFill="1" applyBorder="1" applyAlignment="1">
      <alignment horizontal="center" vertical="center" wrapText="1"/>
    </xf>
    <xf numFmtId="0" fontId="25" fillId="8" borderId="2" xfId="9" applyFont="1" applyFill="1" applyBorder="1" applyAlignment="1">
      <alignment horizontal="center"/>
    </xf>
    <xf numFmtId="0" fontId="25" fillId="8" borderId="16" xfId="9" applyFont="1" applyFill="1" applyBorder="1" applyAlignment="1">
      <alignment horizontal="center"/>
    </xf>
    <xf numFmtId="0" fontId="25" fillId="8" borderId="3" xfId="9" applyFont="1" applyFill="1" applyBorder="1" applyAlignment="1">
      <alignment horizontal="center"/>
    </xf>
    <xf numFmtId="0" fontId="22" fillId="8" borderId="4" xfId="9" applyFont="1" applyFill="1" applyBorder="1" applyAlignment="1">
      <alignment horizontal="center" vertical="center"/>
    </xf>
    <xf numFmtId="0" fontId="22" fillId="8" borderId="5" xfId="9" applyFont="1" applyFill="1" applyBorder="1" applyAlignment="1">
      <alignment horizontal="center" vertical="center"/>
    </xf>
    <xf numFmtId="0" fontId="22" fillId="8" borderId="6" xfId="9" applyFont="1" applyFill="1" applyBorder="1" applyAlignment="1">
      <alignment horizontal="center" vertical="center"/>
    </xf>
    <xf numFmtId="0" fontId="1" fillId="11" borderId="8" xfId="9" applyFill="1" applyBorder="1" applyAlignment="1">
      <alignment horizontal="center" vertical="center"/>
    </xf>
    <xf numFmtId="0" fontId="24" fillId="0" borderId="2" xfId="4" applyFont="1" applyBorder="1" applyAlignment="1">
      <alignment horizontal="left" indent="2"/>
    </xf>
    <xf numFmtId="0" fontId="24" fillId="0" borderId="3" xfId="4" applyFont="1" applyBorder="1" applyAlignment="1">
      <alignment horizontal="left" indent="2"/>
    </xf>
    <xf numFmtId="0" fontId="7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32" fillId="15" borderId="2" xfId="0" applyFont="1" applyFill="1" applyBorder="1" applyAlignment="1">
      <alignment horizontal="center"/>
    </xf>
    <xf numFmtId="0" fontId="32" fillId="15" borderId="3" xfId="0" applyFont="1" applyFill="1" applyBorder="1" applyAlignment="1">
      <alignment horizontal="center"/>
    </xf>
    <xf numFmtId="0" fontId="32" fillId="8" borderId="2" xfId="0" applyFont="1" applyFill="1" applyBorder="1" applyAlignment="1">
      <alignment horizontal="center"/>
    </xf>
    <xf numFmtId="0" fontId="32" fillId="8" borderId="3" xfId="0" applyFont="1" applyFill="1" applyBorder="1" applyAlignment="1">
      <alignment horizontal="center"/>
    </xf>
    <xf numFmtId="0" fontId="31" fillId="8" borderId="0" xfId="0" applyFont="1" applyFill="1" applyAlignment="1">
      <alignment horizontal="center"/>
    </xf>
    <xf numFmtId="0" fontId="33" fillId="15" borderId="2" xfId="0" applyFont="1" applyFill="1" applyBorder="1" applyAlignment="1">
      <alignment horizontal="center"/>
    </xf>
    <xf numFmtId="0" fontId="33" fillId="15" borderId="3" xfId="0" applyFont="1" applyFill="1" applyBorder="1" applyAlignment="1">
      <alignment horizontal="center"/>
    </xf>
  </cellXfs>
  <cellStyles count="11">
    <cellStyle name="Link" xfId="4" builtinId="8"/>
    <cellStyle name="Neutral 2" xfId="8" xr:uid="{00000000-0005-0000-0000-000001000000}"/>
    <cellStyle name="Prozent" xfId="1" builtinId="5"/>
    <cellStyle name="Prozent 2" xfId="6" xr:uid="{00000000-0005-0000-0000-000003000000}"/>
    <cellStyle name="Schlecht" xfId="2" builtinId="27"/>
    <cellStyle name="Schlecht 2" xfId="7" xr:uid="{00000000-0005-0000-0000-000005000000}"/>
    <cellStyle name="Standard" xfId="0" builtinId="0"/>
    <cellStyle name="Standard 2" xfId="9" xr:uid="{00000000-0005-0000-0000-000007000000}"/>
    <cellStyle name="Standard 3" xfId="10" xr:uid="{00000000-0005-0000-0000-000008000000}"/>
    <cellStyle name="Standard 4" xfId="5" xr:uid="{00000000-0005-0000-0000-000009000000}"/>
    <cellStyle name="Standard 5" xfId="3" xr:uid="{00000000-0005-0000-0000-00000A000000}"/>
  </cellStyles>
  <dxfs count="215"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C00000"/>
      </font>
    </dxf>
    <dxf>
      <font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ont>
        <color rgb="FF00B050"/>
      </font>
    </dxf>
    <dxf>
      <font>
        <b val="0"/>
        <i/>
        <color rgb="FFC00000"/>
      </font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752474</xdr:colOff>
      <xdr:row>32</xdr:row>
      <xdr:rowOff>142875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372474" cy="6238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hermes.admin.ch/szenarien/szenario_03_IT-Standardanwendung/scenario/de/ergebnis_einfuehrungskonzept.html" TargetMode="External"/><Relationship Id="rId18" Type="http://schemas.openxmlformats.org/officeDocument/2006/relationships/hyperlink" Target="http://www.hermes.admin.ch/szenarien/szenario_03_IT-Standardanwendung/scenario/de/ergebnis_anwendungshandbuch.html" TargetMode="External"/><Relationship Id="rId26" Type="http://schemas.openxmlformats.org/officeDocument/2006/relationships/hyperlink" Target="https://gever.uvek.intra.admin.ch/uvek/mx/COO.2207.110.3.968530" TargetMode="External"/><Relationship Id="rId39" Type="http://schemas.openxmlformats.org/officeDocument/2006/relationships/hyperlink" Target="https://gever.uvek.intra.admin.ch/uvek/mx/COO.2207.110.3.1065133" TargetMode="External"/><Relationship Id="rId21" Type="http://schemas.openxmlformats.org/officeDocument/2006/relationships/hyperlink" Target="https://gever.uvek.intra.admin.ch/uvek/mx/COO.2207.110.4.901219" TargetMode="External"/><Relationship Id="rId34" Type="http://schemas.openxmlformats.org/officeDocument/2006/relationships/hyperlink" Target="https://gever.uvek.intra.admin.ch/uvek/mx/COO.2207.110.4.1065083" TargetMode="External"/><Relationship Id="rId42" Type="http://schemas.openxmlformats.org/officeDocument/2006/relationships/hyperlink" Target="https://gever.uvek.intra.admin.ch/uvek/mx/COO.2207.110.4.829902" TargetMode="External"/><Relationship Id="rId7" Type="http://schemas.openxmlformats.org/officeDocument/2006/relationships/hyperlink" Target="http://www.hermes.admin.ch/szenarien/szenario_03_IT-Standardanwendung/workbreakdownstructure/de/index.html" TargetMode="External"/><Relationship Id="rId2" Type="http://schemas.openxmlformats.org/officeDocument/2006/relationships/hyperlink" Target="http://www.hermes.admin.ch/szenarien/szenario_03_IT-Standardanwendung/scenario/de/ergebnis_studie.html" TargetMode="External"/><Relationship Id="rId16" Type="http://schemas.openxmlformats.org/officeDocument/2006/relationships/hyperlink" Target="http://www.hermes.admin.ch/szenarien/szenario_03_IT-Standardanwendung/scenario/de/ergebnis_testkonzept.html" TargetMode="External"/><Relationship Id="rId29" Type="http://schemas.openxmlformats.org/officeDocument/2006/relationships/hyperlink" Target="https://gever.uvek.intra.admin.ch/uvek/mx/COO.2207.110.4.968486" TargetMode="External"/><Relationship Id="rId1" Type="http://schemas.openxmlformats.org/officeDocument/2006/relationships/hyperlink" Target="http://www.hermes.admin.ch/szenarien/szenario_03_IT-Standardanwendung/scenario/de/ergebnis_projektinitialisierungsauftrag.html" TargetMode="External"/><Relationship Id="rId6" Type="http://schemas.openxmlformats.org/officeDocument/2006/relationships/hyperlink" Target="http://www.hermes.admin.ch/szenarien/szenario_03_IT-Standardanwendung/scenario/de/ergebnis_projektmanagementplan.html" TargetMode="External"/><Relationship Id="rId11" Type="http://schemas.openxmlformats.org/officeDocument/2006/relationships/hyperlink" Target="http://www.hermes.admin.ch/szenarien/szenario_03_IT-Standardanwendung/scenario/de/ergebnis_systemarchitektur.html" TargetMode="External"/><Relationship Id="rId24" Type="http://schemas.openxmlformats.org/officeDocument/2006/relationships/hyperlink" Target="https://gever.uvek.intra.admin.ch/uvek/mx/COO.2207.110.3.968485" TargetMode="External"/><Relationship Id="rId32" Type="http://schemas.openxmlformats.org/officeDocument/2006/relationships/hyperlink" Target="https://gever.uvek.intra.admin.ch/uvek/mx/COO.2207.110.2.1065072" TargetMode="External"/><Relationship Id="rId37" Type="http://schemas.openxmlformats.org/officeDocument/2006/relationships/hyperlink" Target="https://gever.uvek.intra.admin.ch/uvek/mx/COO.2207.110.3.1065107" TargetMode="External"/><Relationship Id="rId40" Type="http://schemas.openxmlformats.org/officeDocument/2006/relationships/hyperlink" Target="https://gever.uvek.intra.admin.ch/uvek/mx/COO.2207.110.4.1065134" TargetMode="External"/><Relationship Id="rId45" Type="http://schemas.openxmlformats.org/officeDocument/2006/relationships/customProperty" Target="../customProperty2.bin"/><Relationship Id="rId5" Type="http://schemas.openxmlformats.org/officeDocument/2006/relationships/hyperlink" Target="http://www.hermes.admin.ch/szenarien/szenario_03_IT-Standardanwendung/scenario/de/ergebnis_projektauftrag.html" TargetMode="External"/><Relationship Id="rId15" Type="http://schemas.openxmlformats.org/officeDocument/2006/relationships/hyperlink" Target="http://www.hermes.admin.ch/szenarien/szenario_03_IT-Standardanwendung/scenario/de/ergebnis_migrationskonzept.html" TargetMode="External"/><Relationship Id="rId23" Type="http://schemas.openxmlformats.org/officeDocument/2006/relationships/hyperlink" Target="https://gever.uvek.intra.admin.ch/uvek/mx/COO.2207.110.3.968486" TargetMode="External"/><Relationship Id="rId28" Type="http://schemas.openxmlformats.org/officeDocument/2006/relationships/hyperlink" Target="https://gever.uvek.intra.admin.ch/uvek/mx/COO.2207.110.3.980920" TargetMode="External"/><Relationship Id="rId36" Type="http://schemas.openxmlformats.org/officeDocument/2006/relationships/hyperlink" Target="https://gever.uvek.intra.admin.ch/uvek/mx/COO.2207.110.4.1065103" TargetMode="External"/><Relationship Id="rId10" Type="http://schemas.openxmlformats.org/officeDocument/2006/relationships/hyperlink" Target="http://www.hermes.admin.ch/szenarien/szenario_03_IT-Standardanwendung/scenario/de/ergebnis_detailstudie.html" TargetMode="External"/><Relationship Id="rId19" Type="http://schemas.openxmlformats.org/officeDocument/2006/relationships/hyperlink" Target="http://www.hermes.admin.ch/szenarien/szenario_03_IT-Standardanwendung/scenario/de/ergebnis_betriebshandbuch.html" TargetMode="External"/><Relationship Id="rId31" Type="http://schemas.openxmlformats.org/officeDocument/2006/relationships/hyperlink" Target="https://gever.uvek.intra.admin.ch/uvek/mx/COO.2207.110.3.1065067" TargetMode="External"/><Relationship Id="rId44" Type="http://schemas.openxmlformats.org/officeDocument/2006/relationships/printerSettings" Target="../printerSettings/printerSettings2.bin"/><Relationship Id="rId4" Type="http://schemas.openxmlformats.org/officeDocument/2006/relationships/hyperlink" Target="http://www.hermes.admin.ch/szenarien/szenario_03_IT-Standardanwendung/scenario/de/ergebnis_schutzbedarfsanalyse.html" TargetMode="External"/><Relationship Id="rId9" Type="http://schemas.openxmlformats.org/officeDocument/2006/relationships/hyperlink" Target="http://www.hermes.admin.ch/szenarien/szenario_03_IT-Standardanwendung/scenario/de/ergebnis_systemanforderungen.html" TargetMode="External"/><Relationship Id="rId14" Type="http://schemas.openxmlformats.org/officeDocument/2006/relationships/hyperlink" Target="http://www.hermes.admin.ch/szenarien/szenario_03_IT-Standardanwendung/scenario/de/ergebnis_betriebskonzept.html" TargetMode="External"/><Relationship Id="rId22" Type="http://schemas.openxmlformats.org/officeDocument/2006/relationships/hyperlink" Target="https://gever.uvek.intra.admin.ch/uvek/mx/COO.2207.110.4.968487" TargetMode="External"/><Relationship Id="rId27" Type="http://schemas.openxmlformats.org/officeDocument/2006/relationships/hyperlink" Target="https://gever.uvek.intra.admin.ch/uvek/mx/COO.2207.110.4.968485" TargetMode="External"/><Relationship Id="rId30" Type="http://schemas.openxmlformats.org/officeDocument/2006/relationships/hyperlink" Target="https://gever.uvek.intra.admin.ch/uvek/mx/COO.2207.110.3.968534" TargetMode="External"/><Relationship Id="rId35" Type="http://schemas.openxmlformats.org/officeDocument/2006/relationships/hyperlink" Target="https://gever.uvek.intra.admin.ch/uvek/mx/COO.2207.110.2.1065084" TargetMode="External"/><Relationship Id="rId43" Type="http://schemas.openxmlformats.org/officeDocument/2006/relationships/hyperlink" Target="http://www.hermes.admin.ch/onlinepublikation/index.xhtml?element=ergebnis_ausschreibungsunterlagen.html" TargetMode="External"/><Relationship Id="rId8" Type="http://schemas.openxmlformats.org/officeDocument/2006/relationships/hyperlink" Target="http://www.hermes.admin.ch/szenarien/szenario_03_IT-Standardanwendung/scenario/de/ergebnis_situationsanalyse.html" TargetMode="External"/><Relationship Id="rId3" Type="http://schemas.openxmlformats.org/officeDocument/2006/relationships/hyperlink" Target="http://www.hermes.admin.ch/szenarien/szenario_03_IT-Standardanwendung/scenario/de/ergebnis_rechtsgrundlagenanalyse.html" TargetMode="External"/><Relationship Id="rId12" Type="http://schemas.openxmlformats.org/officeDocument/2006/relationships/hyperlink" Target="http://www.hermes.admin.ch/szenarien/szenario_03_IT-Standardanwendung/scenario/de/ergebnis_geschaeftsorganisationskonzept.html" TargetMode="External"/><Relationship Id="rId17" Type="http://schemas.openxmlformats.org/officeDocument/2006/relationships/hyperlink" Target="http://www.hermes.admin.ch/szenarien/szenario_03_IT-Standardanwendung/scenario/de/ergebnis_abnahmeprotokoll.html" TargetMode="External"/><Relationship Id="rId25" Type="http://schemas.openxmlformats.org/officeDocument/2006/relationships/hyperlink" Target="https://gever.uvek.intra.admin.ch/uvek/mx/COO.2207.110.4.942668" TargetMode="External"/><Relationship Id="rId33" Type="http://schemas.openxmlformats.org/officeDocument/2006/relationships/hyperlink" Target="https://gever.uvek.intra.admin.ch/uvek/mx/COO.2207.110.3.1065074" TargetMode="External"/><Relationship Id="rId38" Type="http://schemas.openxmlformats.org/officeDocument/2006/relationships/hyperlink" Target="https://gever.uvek.intra.admin.ch/uvek/mx/COO.2207.110.4.1065118" TargetMode="External"/><Relationship Id="rId20" Type="http://schemas.openxmlformats.org/officeDocument/2006/relationships/hyperlink" Target="http://www.hermes.admin.ch/szenarien/szenario_03_IT-Standardanwendung/scenario/de/ergebnis_projektschlussbeurteilung.html" TargetMode="External"/><Relationship Id="rId41" Type="http://schemas.openxmlformats.org/officeDocument/2006/relationships/hyperlink" Target="https://gever.uvek.intra.admin.ch/uvek/mx/COO.2207.110.3.1065135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gever.uvek.intra.admin.ch/uvek/mx/COO.2207.110.3.1065194" TargetMode="External"/><Relationship Id="rId13" Type="http://schemas.openxmlformats.org/officeDocument/2006/relationships/hyperlink" Target="https://gever.uvek.intra.admin.ch/uvek/mx/COO.2207.110.4.738608" TargetMode="External"/><Relationship Id="rId18" Type="http://schemas.openxmlformats.org/officeDocument/2006/relationships/hyperlink" Target="https://gever.uvek.intra.admin.ch/uvek/mx/COO.2207.110.3.1101974" TargetMode="External"/><Relationship Id="rId3" Type="http://schemas.openxmlformats.org/officeDocument/2006/relationships/hyperlink" Target="https://gever.uvek.intra.admin.ch/uvek/mx/COO.2207.110.4.921009" TargetMode="External"/><Relationship Id="rId21" Type="http://schemas.openxmlformats.org/officeDocument/2006/relationships/customProperty" Target="../customProperty3.bin"/><Relationship Id="rId7" Type="http://schemas.openxmlformats.org/officeDocument/2006/relationships/hyperlink" Target="https://gever.uvek.intra.admin.ch/uvek/mx/COO.2207.110.4.1065194" TargetMode="External"/><Relationship Id="rId12" Type="http://schemas.openxmlformats.org/officeDocument/2006/relationships/hyperlink" Target="https://gever.uvek.intra.admin.ch/uvek/mx/COO.2207.110.2.1032224" TargetMode="External"/><Relationship Id="rId17" Type="http://schemas.openxmlformats.org/officeDocument/2006/relationships/hyperlink" Target="https://gever.uvek.intra.admin.ch/uvek/mx/COO.2207.110.3.1101932" TargetMode="External"/><Relationship Id="rId2" Type="http://schemas.openxmlformats.org/officeDocument/2006/relationships/hyperlink" Target="https://gever.uvek.intra.admin.ch/uvek/mx/COO.2207.110.2.1052073" TargetMode="External"/><Relationship Id="rId16" Type="http://schemas.openxmlformats.org/officeDocument/2006/relationships/hyperlink" Target="https://gever.uvek.intra.admin.ch/uvek/mx/COO.2207.110.4.831643" TargetMode="External"/><Relationship Id="rId20" Type="http://schemas.openxmlformats.org/officeDocument/2006/relationships/printerSettings" Target="../printerSettings/printerSettings3.bin"/><Relationship Id="rId1" Type="http://schemas.openxmlformats.org/officeDocument/2006/relationships/hyperlink" Target="https://gever.uvek.intra.admin.ch/uvek/mx/COO.2207.110.4.1020478" TargetMode="External"/><Relationship Id="rId6" Type="http://schemas.openxmlformats.org/officeDocument/2006/relationships/hyperlink" Target="https://gever.uvek.intra.admin.ch/uvek/mx/COO.2207.110.4.1065180" TargetMode="External"/><Relationship Id="rId11" Type="http://schemas.openxmlformats.org/officeDocument/2006/relationships/hyperlink" Target="https://gever.uvek.intra.admin.ch/uvek/mx/COO.2207.110.3.1060603" TargetMode="External"/><Relationship Id="rId5" Type="http://schemas.openxmlformats.org/officeDocument/2006/relationships/hyperlink" Target="https://gever.uvek.intra.admin.ch/uvek/mx/COO.2207.110.3.1055699" TargetMode="External"/><Relationship Id="rId15" Type="http://schemas.openxmlformats.org/officeDocument/2006/relationships/hyperlink" Target="https://gever.uvek.intra.admin.ch/uvek/mx/COO.2207.110.2.1065209" TargetMode="External"/><Relationship Id="rId10" Type="http://schemas.openxmlformats.org/officeDocument/2006/relationships/hyperlink" Target="https://gever.uvek.intra.admin.ch/uvek/mx/COO.2207.110.4.866524" TargetMode="External"/><Relationship Id="rId19" Type="http://schemas.openxmlformats.org/officeDocument/2006/relationships/hyperlink" Target="https://gever.uvek.intra.admin.ch/uvek/mx/COO.2207.110.2.1101974" TargetMode="External"/><Relationship Id="rId4" Type="http://schemas.openxmlformats.org/officeDocument/2006/relationships/hyperlink" Target="https://gever.uvek.intra.admin.ch/uvek/mx/COO.2207.110.3.1050253" TargetMode="External"/><Relationship Id="rId9" Type="http://schemas.openxmlformats.org/officeDocument/2006/relationships/hyperlink" Target="https://gever.uvek.intra.admin.ch/uvek/mx/COO.2207.110.3.46231" TargetMode="External"/><Relationship Id="rId14" Type="http://schemas.openxmlformats.org/officeDocument/2006/relationships/hyperlink" Target="https://gever.uvek.intra.admin.ch/uvek/mx/COO.2207.110.2.100159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"/>
  <sheetViews>
    <sheetView showGridLines="0" showRowColHeaders="0" workbookViewId="0"/>
  </sheetViews>
  <sheetFormatPr baseColWidth="10" defaultRowHeight="14.5" x14ac:dyDescent="0.35"/>
  <sheetData/>
  <pageMargins left="0.7" right="0.7" top="0.78740157499999996" bottom="0.78740157499999996" header="0.3" footer="0.3"/>
  <pageSetup paperSize="9" orientation="landscape" horizontalDpi="1200" verticalDpi="1200" r:id="rId1"/>
  <customProperties>
    <customPr name="Epm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38"/>
  <sheetViews>
    <sheetView topLeftCell="A13" workbookViewId="0">
      <selection activeCell="C17" sqref="C17"/>
    </sheetView>
  </sheetViews>
  <sheetFormatPr baseColWidth="10" defaultRowHeight="14.5" x14ac:dyDescent="0.35"/>
  <cols>
    <col min="1" max="1" width="4.453125" bestFit="1" customWidth="1"/>
    <col min="2" max="2" width="26.1796875" bestFit="1" customWidth="1"/>
    <col min="3" max="3" width="54.81640625" bestFit="1" customWidth="1"/>
    <col min="4" max="4" width="111.26953125" bestFit="1" customWidth="1"/>
  </cols>
  <sheetData>
    <row r="1" spans="1:4" x14ac:dyDescent="0.35">
      <c r="A1" s="173" t="s">
        <v>30</v>
      </c>
      <c r="B1" s="174"/>
      <c r="C1" s="174"/>
      <c r="D1" s="175"/>
    </row>
    <row r="2" spans="1:4" ht="8.25" customHeight="1" x14ac:dyDescent="0.35">
      <c r="A2" s="40"/>
      <c r="B2" s="40"/>
      <c r="C2" s="40"/>
      <c r="D2" s="40"/>
    </row>
    <row r="3" spans="1:4" x14ac:dyDescent="0.35">
      <c r="A3" s="177" t="s">
        <v>31</v>
      </c>
      <c r="B3" s="178"/>
      <c r="C3" s="178"/>
      <c r="D3" s="179"/>
    </row>
    <row r="4" spans="1:4" x14ac:dyDescent="0.35">
      <c r="A4" s="180" t="s">
        <v>32</v>
      </c>
      <c r="B4" s="180"/>
      <c r="C4" s="180"/>
      <c r="D4" s="180"/>
    </row>
    <row r="5" spans="1:4" x14ac:dyDescent="0.35">
      <c r="A5" s="41" t="s">
        <v>33</v>
      </c>
      <c r="B5" s="42" t="s">
        <v>34</v>
      </c>
      <c r="C5" s="42" t="s">
        <v>35</v>
      </c>
      <c r="D5" s="42" t="s">
        <v>36</v>
      </c>
    </row>
    <row r="6" spans="1:4" x14ac:dyDescent="0.35">
      <c r="A6" s="44">
        <v>1.1000000000000001</v>
      </c>
      <c r="B6" s="45" t="s">
        <v>37</v>
      </c>
      <c r="C6" s="46" t="s">
        <v>38</v>
      </c>
      <c r="D6" s="45" t="s">
        <v>39</v>
      </c>
    </row>
    <row r="7" spans="1:4" x14ac:dyDescent="0.35">
      <c r="A7" s="51">
        <v>1.2</v>
      </c>
      <c r="B7" s="52" t="s">
        <v>40</v>
      </c>
      <c r="C7" s="53" t="s">
        <v>41</v>
      </c>
      <c r="D7" s="54" t="s">
        <v>42</v>
      </c>
    </row>
    <row r="8" spans="1:4" x14ac:dyDescent="0.35">
      <c r="A8" s="183" t="s">
        <v>43</v>
      </c>
      <c r="B8" s="184"/>
      <c r="C8" s="184"/>
      <c r="D8" s="185"/>
    </row>
    <row r="9" spans="1:4" x14ac:dyDescent="0.35">
      <c r="A9" s="59">
        <v>1.3</v>
      </c>
      <c r="B9" s="60" t="s">
        <v>14</v>
      </c>
      <c r="C9" s="61" t="s">
        <v>44</v>
      </c>
      <c r="D9" s="62" t="s">
        <v>45</v>
      </c>
    </row>
    <row r="10" spans="1:4" x14ac:dyDescent="0.35">
      <c r="A10" s="186" t="s">
        <v>46</v>
      </c>
      <c r="B10" s="187"/>
      <c r="C10" s="187"/>
      <c r="D10" s="188"/>
    </row>
    <row r="11" spans="1:4" x14ac:dyDescent="0.35">
      <c r="A11" s="55">
        <v>1.4</v>
      </c>
      <c r="B11" s="56" t="s">
        <v>15</v>
      </c>
      <c r="C11" s="57" t="s">
        <v>47</v>
      </c>
      <c r="D11" s="58" t="s">
        <v>48</v>
      </c>
    </row>
    <row r="12" spans="1:4" x14ac:dyDescent="0.35">
      <c r="A12" s="44">
        <v>1.5</v>
      </c>
      <c r="B12" s="45" t="s">
        <v>49</v>
      </c>
      <c r="C12" s="46" t="s">
        <v>50</v>
      </c>
      <c r="D12" s="46" t="s">
        <v>51</v>
      </c>
    </row>
    <row r="13" spans="1:4" x14ac:dyDescent="0.35">
      <c r="A13" s="44">
        <v>1.6</v>
      </c>
      <c r="B13" s="45" t="s">
        <v>10</v>
      </c>
      <c r="C13" s="46" t="s">
        <v>52</v>
      </c>
      <c r="D13" s="46" t="s">
        <v>53</v>
      </c>
    </row>
    <row r="14" spans="1:4" x14ac:dyDescent="0.35">
      <c r="A14" s="189" t="s">
        <v>54</v>
      </c>
      <c r="B14" s="184"/>
      <c r="C14" s="184"/>
      <c r="D14" s="185"/>
    </row>
    <row r="15" spans="1:4" x14ac:dyDescent="0.35">
      <c r="A15" s="181" t="s">
        <v>55</v>
      </c>
      <c r="B15" s="181"/>
      <c r="C15" s="181"/>
      <c r="D15" s="181"/>
    </row>
    <row r="16" spans="1:4" x14ac:dyDescent="0.35">
      <c r="A16" s="64" t="s">
        <v>33</v>
      </c>
      <c r="B16" s="65" t="s">
        <v>34</v>
      </c>
      <c r="C16" s="65" t="s">
        <v>35</v>
      </c>
      <c r="D16" s="65" t="s">
        <v>36</v>
      </c>
    </row>
    <row r="17" spans="1:4" x14ac:dyDescent="0.35">
      <c r="A17" s="63">
        <v>2.1</v>
      </c>
      <c r="B17" s="66" t="s">
        <v>56</v>
      </c>
      <c r="C17" s="68" t="s">
        <v>57</v>
      </c>
      <c r="D17" s="67" t="s">
        <v>39</v>
      </c>
    </row>
    <row r="18" spans="1:4" x14ac:dyDescent="0.35">
      <c r="A18" s="55">
        <v>2.2000000000000002</v>
      </c>
      <c r="B18" s="56" t="s">
        <v>16</v>
      </c>
      <c r="C18" s="58" t="s">
        <v>58</v>
      </c>
      <c r="D18" s="58" t="s">
        <v>59</v>
      </c>
    </row>
    <row r="19" spans="1:4" x14ac:dyDescent="0.35">
      <c r="A19" s="44">
        <v>2.2999999999999998</v>
      </c>
      <c r="B19" s="45" t="s">
        <v>12</v>
      </c>
      <c r="C19" s="46" t="s">
        <v>60</v>
      </c>
      <c r="D19" s="46" t="s">
        <v>61</v>
      </c>
    </row>
    <row r="20" spans="1:4" x14ac:dyDescent="0.35">
      <c r="A20" s="44">
        <v>2.4</v>
      </c>
      <c r="B20" s="45" t="s">
        <v>62</v>
      </c>
      <c r="C20" s="46" t="s">
        <v>63</v>
      </c>
      <c r="D20" s="46" t="s">
        <v>64</v>
      </c>
    </row>
    <row r="21" spans="1:4" x14ac:dyDescent="0.35">
      <c r="A21" s="44">
        <v>2.5</v>
      </c>
      <c r="B21" s="45" t="s">
        <v>19</v>
      </c>
      <c r="C21" s="46" t="s">
        <v>65</v>
      </c>
      <c r="D21" s="46" t="s">
        <v>66</v>
      </c>
    </row>
    <row r="22" spans="1:4" x14ac:dyDescent="0.35">
      <c r="A22" s="44">
        <v>2.6</v>
      </c>
      <c r="B22" s="45" t="s">
        <v>20</v>
      </c>
      <c r="C22" s="46" t="s">
        <v>67</v>
      </c>
      <c r="D22" s="46" t="s">
        <v>68</v>
      </c>
    </row>
    <row r="23" spans="1:4" x14ac:dyDescent="0.35">
      <c r="A23" s="44">
        <v>2.7</v>
      </c>
      <c r="B23" s="45" t="s">
        <v>21</v>
      </c>
      <c r="C23" s="46" t="s">
        <v>69</v>
      </c>
      <c r="D23" s="46" t="s">
        <v>70</v>
      </c>
    </row>
    <row r="24" spans="1:4" x14ac:dyDescent="0.35">
      <c r="A24" s="51">
        <v>2.8</v>
      </c>
      <c r="B24" s="52" t="s">
        <v>22</v>
      </c>
      <c r="C24" s="54" t="s">
        <v>71</v>
      </c>
      <c r="D24" s="54" t="s">
        <v>72</v>
      </c>
    </row>
    <row r="25" spans="1:4" x14ac:dyDescent="0.35">
      <c r="A25" s="186" t="s">
        <v>73</v>
      </c>
      <c r="B25" s="187"/>
      <c r="C25" s="187"/>
      <c r="D25" s="188"/>
    </row>
    <row r="26" spans="1:4" x14ac:dyDescent="0.35">
      <c r="A26" s="55">
        <v>2.9</v>
      </c>
      <c r="B26" s="56" t="s">
        <v>17</v>
      </c>
      <c r="C26" s="58" t="s">
        <v>74</v>
      </c>
      <c r="D26" s="58" t="s">
        <v>75</v>
      </c>
    </row>
    <row r="27" spans="1:4" x14ac:dyDescent="0.35">
      <c r="A27" s="48">
        <v>2.1</v>
      </c>
      <c r="B27" s="45" t="s">
        <v>18</v>
      </c>
      <c r="C27" s="46" t="s">
        <v>76</v>
      </c>
      <c r="D27" s="46" t="s">
        <v>77</v>
      </c>
    </row>
    <row r="28" spans="1:4" x14ac:dyDescent="0.35">
      <c r="A28" s="48">
        <v>2.11</v>
      </c>
      <c r="B28" s="45" t="s">
        <v>24</v>
      </c>
      <c r="C28" s="46" t="s">
        <v>78</v>
      </c>
      <c r="D28" s="46" t="s">
        <v>79</v>
      </c>
    </row>
    <row r="29" spans="1:4" x14ac:dyDescent="0.35">
      <c r="A29" s="48">
        <v>2.11</v>
      </c>
      <c r="B29" s="45" t="s">
        <v>27</v>
      </c>
      <c r="C29" s="46" t="s">
        <v>80</v>
      </c>
      <c r="D29" s="46" t="s">
        <v>81</v>
      </c>
    </row>
    <row r="30" spans="1:4" x14ac:dyDescent="0.35">
      <c r="A30" s="48">
        <v>2.12</v>
      </c>
      <c r="B30" s="45" t="s">
        <v>82</v>
      </c>
      <c r="C30" s="46" t="s">
        <v>83</v>
      </c>
      <c r="D30" s="46" t="s">
        <v>84</v>
      </c>
    </row>
    <row r="31" spans="1:4" x14ac:dyDescent="0.35">
      <c r="A31" s="182" t="s">
        <v>85</v>
      </c>
      <c r="B31" s="182"/>
      <c r="C31" s="182"/>
      <c r="D31" s="182"/>
    </row>
    <row r="32" spans="1:4" x14ac:dyDescent="0.35">
      <c r="A32" s="41" t="s">
        <v>33</v>
      </c>
      <c r="B32" s="42" t="s">
        <v>34</v>
      </c>
      <c r="C32" s="42" t="s">
        <v>35</v>
      </c>
      <c r="D32" s="42" t="s">
        <v>36</v>
      </c>
    </row>
    <row r="33" spans="1:4" x14ac:dyDescent="0.35">
      <c r="A33" s="49">
        <v>3.1</v>
      </c>
      <c r="B33" s="45" t="s">
        <v>28</v>
      </c>
      <c r="C33" s="47" t="s">
        <v>86</v>
      </c>
      <c r="D33" s="46" t="s">
        <v>87</v>
      </c>
    </row>
    <row r="34" spans="1:4" x14ac:dyDescent="0.35">
      <c r="A34" s="49">
        <v>3.2</v>
      </c>
      <c r="B34" s="45" t="s">
        <v>23</v>
      </c>
      <c r="C34" s="45" t="s">
        <v>88</v>
      </c>
      <c r="D34" s="46" t="s">
        <v>89</v>
      </c>
    </row>
    <row r="35" spans="1:4" x14ac:dyDescent="0.35">
      <c r="A35" s="49">
        <v>3.3</v>
      </c>
      <c r="B35" s="45" t="s">
        <v>90</v>
      </c>
      <c r="C35" s="46" t="s">
        <v>91</v>
      </c>
      <c r="D35" s="46" t="s">
        <v>92</v>
      </c>
    </row>
    <row r="36" spans="1:4" x14ac:dyDescent="0.35">
      <c r="A36" s="176" t="s">
        <v>93</v>
      </c>
      <c r="B36" s="176"/>
      <c r="C36" s="176"/>
      <c r="D36" s="176"/>
    </row>
    <row r="37" spans="1:4" x14ac:dyDescent="0.35">
      <c r="A37" s="43" t="s">
        <v>33</v>
      </c>
      <c r="B37" s="42" t="s">
        <v>34</v>
      </c>
      <c r="C37" s="42" t="s">
        <v>35</v>
      </c>
      <c r="D37" s="42" t="s">
        <v>36</v>
      </c>
    </row>
    <row r="38" spans="1:4" x14ac:dyDescent="0.35">
      <c r="A38" s="50">
        <v>4.0999999999999996</v>
      </c>
      <c r="B38" s="45" t="s">
        <v>13</v>
      </c>
      <c r="C38" s="46" t="s">
        <v>94</v>
      </c>
      <c r="D38" s="46" t="s">
        <v>95</v>
      </c>
    </row>
  </sheetData>
  <mergeCells count="10">
    <mergeCell ref="A1:D1"/>
    <mergeCell ref="A36:D36"/>
    <mergeCell ref="A3:D3"/>
    <mergeCell ref="A4:D4"/>
    <mergeCell ref="A15:D15"/>
    <mergeCell ref="A31:D31"/>
    <mergeCell ref="A8:D8"/>
    <mergeCell ref="A10:D10"/>
    <mergeCell ref="A14:D14"/>
    <mergeCell ref="A25:D25"/>
  </mergeCells>
  <hyperlinks>
    <hyperlink ref="D7" r:id="rId1" xr:uid="{00000000-0004-0000-0100-000000000000}"/>
    <hyperlink ref="D9" r:id="rId2" xr:uid="{00000000-0004-0000-0100-000001000000}"/>
    <hyperlink ref="D11" r:id="rId3" xr:uid="{00000000-0004-0000-0100-000002000000}"/>
    <hyperlink ref="D12" r:id="rId4" xr:uid="{00000000-0004-0000-0100-000003000000}"/>
    <hyperlink ref="D13" r:id="rId5" xr:uid="{00000000-0004-0000-0100-000004000000}"/>
    <hyperlink ref="D19" r:id="rId6" xr:uid="{00000000-0004-0000-0100-000005000000}"/>
    <hyperlink ref="D20" r:id="rId7" xr:uid="{00000000-0004-0000-0100-000006000000}"/>
    <hyperlink ref="D21" r:id="rId8" xr:uid="{00000000-0004-0000-0100-000007000000}"/>
    <hyperlink ref="D22" r:id="rId9" xr:uid="{00000000-0004-0000-0100-000008000000}"/>
    <hyperlink ref="D23" r:id="rId10" xr:uid="{00000000-0004-0000-0100-000009000000}"/>
    <hyperlink ref="D24" r:id="rId11" xr:uid="{00000000-0004-0000-0100-00000A000000}"/>
    <hyperlink ref="D26" r:id="rId12" xr:uid="{00000000-0004-0000-0100-00000B000000}"/>
    <hyperlink ref="D27" r:id="rId13" xr:uid="{00000000-0004-0000-0100-00000C000000}"/>
    <hyperlink ref="D28" r:id="rId14" xr:uid="{00000000-0004-0000-0100-00000D000000}"/>
    <hyperlink ref="D29" r:id="rId15" xr:uid="{00000000-0004-0000-0100-00000E000000}"/>
    <hyperlink ref="D30" r:id="rId16" xr:uid="{00000000-0004-0000-0100-00000F000000}"/>
    <hyperlink ref="D33" r:id="rId17" xr:uid="{00000000-0004-0000-0100-000010000000}"/>
    <hyperlink ref="D34" r:id="rId18" xr:uid="{00000000-0004-0000-0100-000011000000}"/>
    <hyperlink ref="D35" r:id="rId19" xr:uid="{00000000-0004-0000-0100-000012000000}"/>
    <hyperlink ref="D38" r:id="rId20" xr:uid="{00000000-0004-0000-0100-000013000000}"/>
    <hyperlink ref="C7" r:id="rId21" xr:uid="{00000000-0004-0000-0100-000014000000}"/>
    <hyperlink ref="C9" r:id="rId22" xr:uid="{00000000-0004-0000-0100-000015000000}"/>
    <hyperlink ref="C11" r:id="rId23" xr:uid="{00000000-0004-0000-0100-000016000000}"/>
    <hyperlink ref="C13" r:id="rId24" xr:uid="{00000000-0004-0000-0100-000017000000}"/>
    <hyperlink ref="C6" r:id="rId25" xr:uid="{00000000-0004-0000-0100-000018000000}"/>
    <hyperlink ref="C18" r:id="rId26" xr:uid="{00000000-0004-0000-0100-000019000000}"/>
    <hyperlink ref="C19" r:id="rId27" xr:uid="{00000000-0004-0000-0100-00001A000000}"/>
    <hyperlink ref="C20" r:id="rId28" xr:uid="{00000000-0004-0000-0100-00001B000000}"/>
    <hyperlink ref="C38" r:id="rId29" xr:uid="{00000000-0004-0000-0100-00001C000000}"/>
    <hyperlink ref="C33" r:id="rId30" xr:uid="{00000000-0004-0000-0100-00001D000000}"/>
    <hyperlink ref="C21" r:id="rId31" xr:uid="{00000000-0004-0000-0100-00001E000000}"/>
    <hyperlink ref="C22" r:id="rId32" xr:uid="{00000000-0004-0000-0100-00001F000000}"/>
    <hyperlink ref="C23" r:id="rId33" xr:uid="{00000000-0004-0000-0100-000020000000}"/>
    <hyperlink ref="C24" r:id="rId34" xr:uid="{00000000-0004-0000-0100-000021000000}"/>
    <hyperlink ref="C26" r:id="rId35" xr:uid="{00000000-0004-0000-0100-000022000000}"/>
    <hyperlink ref="C27" r:id="rId36" xr:uid="{00000000-0004-0000-0100-000023000000}"/>
    <hyperlink ref="C28" r:id="rId37" xr:uid="{00000000-0004-0000-0100-000024000000}"/>
    <hyperlink ref="C29" r:id="rId38" xr:uid="{00000000-0004-0000-0100-000025000000}"/>
    <hyperlink ref="C30" r:id="rId39" xr:uid="{00000000-0004-0000-0100-000026000000}"/>
    <hyperlink ref="C35" r:id="rId40" xr:uid="{00000000-0004-0000-0100-000027000000}"/>
    <hyperlink ref="C12" r:id="rId41" xr:uid="{00000000-0004-0000-0100-000028000000}"/>
    <hyperlink ref="C17" r:id="rId42" xr:uid="{00000000-0004-0000-0100-000029000000}"/>
    <hyperlink ref="D18" r:id="rId43" xr:uid="{00000000-0004-0000-0100-00002A000000}"/>
  </hyperlinks>
  <pageMargins left="0.31496062992125984" right="0.31496062992125984" top="0.39370078740157483" bottom="0.39370078740157483" header="0.31496062992125984" footer="0.31496062992125984"/>
  <pageSetup paperSize="8" orientation="landscape" horizontalDpi="1200" verticalDpi="1200" r:id="rId44"/>
  <customProperties>
    <customPr name="EpmWorksheetKeyString_GUID" r:id="rId4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38"/>
  <sheetViews>
    <sheetView showGridLines="0" showRowColHeaders="0" workbookViewId="0">
      <selection activeCell="A14" sqref="A14:D14"/>
    </sheetView>
  </sheetViews>
  <sheetFormatPr baseColWidth="10" defaultRowHeight="14.5" x14ac:dyDescent="0.35"/>
  <cols>
    <col min="1" max="1" width="4.453125" bestFit="1" customWidth="1"/>
    <col min="2" max="2" width="26.1796875" bestFit="1" customWidth="1"/>
    <col min="3" max="3" width="49.453125" bestFit="1" customWidth="1"/>
    <col min="4" max="4" width="54.81640625" bestFit="1" customWidth="1"/>
  </cols>
  <sheetData>
    <row r="1" spans="1:4" x14ac:dyDescent="0.35">
      <c r="A1" s="190" t="s">
        <v>96</v>
      </c>
      <c r="B1" s="191"/>
      <c r="C1" s="191"/>
      <c r="D1" s="192"/>
    </row>
    <row r="2" spans="1:4" ht="4.5" customHeight="1" x14ac:dyDescent="0.35">
      <c r="A2" s="69"/>
      <c r="B2" s="69"/>
      <c r="C2" s="69"/>
      <c r="D2" s="69"/>
    </row>
    <row r="3" spans="1:4" x14ac:dyDescent="0.35">
      <c r="A3" s="193" t="s">
        <v>31</v>
      </c>
      <c r="B3" s="194"/>
      <c r="C3" s="194"/>
      <c r="D3" s="195"/>
    </row>
    <row r="4" spans="1:4" x14ac:dyDescent="0.35">
      <c r="A4" s="180" t="s">
        <v>32</v>
      </c>
      <c r="B4" s="180"/>
      <c r="C4" s="180"/>
      <c r="D4" s="180"/>
    </row>
    <row r="5" spans="1:4" x14ac:dyDescent="0.35">
      <c r="A5" s="70" t="s">
        <v>33</v>
      </c>
      <c r="B5" s="71" t="s">
        <v>34</v>
      </c>
      <c r="C5" s="71" t="s">
        <v>97</v>
      </c>
      <c r="D5" s="71" t="s">
        <v>98</v>
      </c>
    </row>
    <row r="6" spans="1:4" x14ac:dyDescent="0.35">
      <c r="A6" s="72">
        <v>1.1000000000000001</v>
      </c>
      <c r="B6" s="101" t="s">
        <v>37</v>
      </c>
      <c r="C6" s="77" t="s">
        <v>99</v>
      </c>
      <c r="D6" s="73" t="s">
        <v>100</v>
      </c>
    </row>
    <row r="7" spans="1:4" x14ac:dyDescent="0.35">
      <c r="A7" s="82">
        <v>1.2</v>
      </c>
      <c r="B7" s="102" t="s">
        <v>40</v>
      </c>
      <c r="C7" s="93" t="s">
        <v>101</v>
      </c>
      <c r="D7" s="83" t="s">
        <v>102</v>
      </c>
    </row>
    <row r="8" spans="1:4" x14ac:dyDescent="0.35">
      <c r="A8" s="183" t="s">
        <v>43</v>
      </c>
      <c r="B8" s="184"/>
      <c r="C8" s="184"/>
      <c r="D8" s="185"/>
    </row>
    <row r="9" spans="1:4" x14ac:dyDescent="0.35">
      <c r="A9" s="86">
        <v>1.3</v>
      </c>
      <c r="B9" s="103" t="s">
        <v>14</v>
      </c>
      <c r="C9" s="95" t="s">
        <v>103</v>
      </c>
      <c r="D9" s="87" t="s">
        <v>104</v>
      </c>
    </row>
    <row r="10" spans="1:4" x14ac:dyDescent="0.35">
      <c r="A10" s="186" t="s">
        <v>46</v>
      </c>
      <c r="B10" s="187"/>
      <c r="C10" s="187"/>
      <c r="D10" s="188"/>
    </row>
    <row r="11" spans="1:4" x14ac:dyDescent="0.35">
      <c r="A11" s="84">
        <v>1.4</v>
      </c>
      <c r="B11" s="104" t="s">
        <v>15</v>
      </c>
      <c r="C11" s="94" t="s">
        <v>105</v>
      </c>
      <c r="D11" s="85" t="s">
        <v>106</v>
      </c>
    </row>
    <row r="12" spans="1:4" x14ac:dyDescent="0.35">
      <c r="A12" s="72">
        <v>1.5</v>
      </c>
      <c r="B12" s="101" t="s">
        <v>49</v>
      </c>
      <c r="C12" s="197" t="s">
        <v>107</v>
      </c>
      <c r="D12" s="198"/>
    </row>
    <row r="13" spans="1:4" x14ac:dyDescent="0.35">
      <c r="A13" s="82">
        <v>1.6</v>
      </c>
      <c r="B13" s="102" t="s">
        <v>10</v>
      </c>
      <c r="C13" s="96" t="s">
        <v>108</v>
      </c>
      <c r="D13" s="83" t="s">
        <v>109</v>
      </c>
    </row>
    <row r="14" spans="1:4" ht="15" customHeight="1" x14ac:dyDescent="0.35">
      <c r="A14" s="189" t="s">
        <v>54</v>
      </c>
      <c r="B14" s="184"/>
      <c r="C14" s="184"/>
      <c r="D14" s="185"/>
    </row>
    <row r="15" spans="1:4" x14ac:dyDescent="0.35">
      <c r="A15" s="196" t="s">
        <v>55</v>
      </c>
      <c r="B15" s="196"/>
      <c r="C15" s="196"/>
      <c r="D15" s="196"/>
    </row>
    <row r="16" spans="1:4" x14ac:dyDescent="0.35">
      <c r="A16" s="89" t="s">
        <v>33</v>
      </c>
      <c r="B16" s="90" t="s">
        <v>34</v>
      </c>
      <c r="C16" s="90" t="s">
        <v>97</v>
      </c>
      <c r="D16" s="90" t="s">
        <v>98</v>
      </c>
    </row>
    <row r="17" spans="1:4" x14ac:dyDescent="0.35">
      <c r="A17" s="88">
        <v>2.1</v>
      </c>
      <c r="B17" s="91" t="s">
        <v>56</v>
      </c>
      <c r="C17" s="100"/>
      <c r="D17" s="92"/>
    </row>
    <row r="18" spans="1:4" x14ac:dyDescent="0.35">
      <c r="A18" s="84">
        <v>2.2000000000000002</v>
      </c>
      <c r="B18" s="104" t="s">
        <v>16</v>
      </c>
      <c r="C18" s="97" t="s">
        <v>110</v>
      </c>
      <c r="D18" s="85" t="s">
        <v>111</v>
      </c>
    </row>
    <row r="19" spans="1:4" x14ac:dyDescent="0.35">
      <c r="A19" s="72">
        <v>2.2999999999999998</v>
      </c>
      <c r="B19" s="101" t="s">
        <v>12</v>
      </c>
      <c r="C19" s="77" t="s">
        <v>112</v>
      </c>
      <c r="D19" s="73" t="s">
        <v>113</v>
      </c>
    </row>
    <row r="20" spans="1:4" x14ac:dyDescent="0.35">
      <c r="A20" s="72">
        <v>2.4</v>
      </c>
      <c r="B20" s="101" t="s">
        <v>62</v>
      </c>
      <c r="C20" s="77" t="s">
        <v>108</v>
      </c>
      <c r="D20" s="73" t="s">
        <v>114</v>
      </c>
    </row>
    <row r="21" spans="1:4" x14ac:dyDescent="0.35">
      <c r="A21" s="72">
        <v>2.5</v>
      </c>
      <c r="B21" s="101" t="s">
        <v>19</v>
      </c>
      <c r="C21" s="98" t="s">
        <v>115</v>
      </c>
      <c r="D21" s="99" t="s">
        <v>116</v>
      </c>
    </row>
    <row r="22" spans="1:4" x14ac:dyDescent="0.35">
      <c r="A22" s="72">
        <v>2.6</v>
      </c>
      <c r="B22" s="101" t="s">
        <v>20</v>
      </c>
      <c r="C22" s="98" t="s">
        <v>115</v>
      </c>
      <c r="D22" s="99" t="s">
        <v>117</v>
      </c>
    </row>
    <row r="23" spans="1:4" x14ac:dyDescent="0.35">
      <c r="A23" s="72">
        <v>2.7</v>
      </c>
      <c r="B23" s="101" t="s">
        <v>21</v>
      </c>
      <c r="C23" s="77" t="s">
        <v>115</v>
      </c>
      <c r="D23" s="73" t="s">
        <v>118</v>
      </c>
    </row>
    <row r="24" spans="1:4" x14ac:dyDescent="0.35">
      <c r="A24" s="82">
        <v>2.8</v>
      </c>
      <c r="B24" s="102" t="s">
        <v>22</v>
      </c>
      <c r="C24" s="96" t="s">
        <v>101</v>
      </c>
      <c r="D24" s="83" t="s">
        <v>119</v>
      </c>
    </row>
    <row r="25" spans="1:4" x14ac:dyDescent="0.35">
      <c r="A25" s="186" t="s">
        <v>73</v>
      </c>
      <c r="B25" s="187"/>
      <c r="C25" s="187"/>
      <c r="D25" s="188"/>
    </row>
    <row r="26" spans="1:4" x14ac:dyDescent="0.35">
      <c r="A26" s="84">
        <v>2.9</v>
      </c>
      <c r="B26" s="104" t="s">
        <v>17</v>
      </c>
      <c r="C26" s="97" t="s">
        <v>115</v>
      </c>
      <c r="D26" s="85" t="s">
        <v>120</v>
      </c>
    </row>
    <row r="27" spans="1:4" x14ac:dyDescent="0.35">
      <c r="A27" s="74">
        <v>2.1</v>
      </c>
      <c r="B27" s="101" t="s">
        <v>18</v>
      </c>
      <c r="C27" s="77" t="s">
        <v>121</v>
      </c>
      <c r="D27" s="73" t="s">
        <v>122</v>
      </c>
    </row>
    <row r="28" spans="1:4" x14ac:dyDescent="0.35">
      <c r="A28" s="74">
        <v>2.11</v>
      </c>
      <c r="B28" s="101" t="s">
        <v>24</v>
      </c>
      <c r="C28" s="98" t="s">
        <v>115</v>
      </c>
      <c r="D28" s="98" t="s">
        <v>123</v>
      </c>
    </row>
    <row r="29" spans="1:4" x14ac:dyDescent="0.35">
      <c r="A29" s="74">
        <v>2.12</v>
      </c>
      <c r="B29" s="101" t="s">
        <v>27</v>
      </c>
      <c r="C29" s="77" t="s">
        <v>121</v>
      </c>
      <c r="D29" s="73" t="s">
        <v>124</v>
      </c>
    </row>
    <row r="30" spans="1:4" x14ac:dyDescent="0.35">
      <c r="A30" s="74">
        <v>2.13</v>
      </c>
      <c r="B30" s="101" t="s">
        <v>82</v>
      </c>
      <c r="C30" s="77" t="s">
        <v>125</v>
      </c>
      <c r="D30" s="73" t="s">
        <v>126</v>
      </c>
    </row>
    <row r="31" spans="1:4" x14ac:dyDescent="0.35">
      <c r="A31" s="182" t="s">
        <v>85</v>
      </c>
      <c r="B31" s="182"/>
      <c r="C31" s="182"/>
      <c r="D31" s="182"/>
    </row>
    <row r="32" spans="1:4" x14ac:dyDescent="0.35">
      <c r="A32" s="70" t="s">
        <v>33</v>
      </c>
      <c r="B32" s="71" t="s">
        <v>34</v>
      </c>
      <c r="C32" s="71" t="s">
        <v>97</v>
      </c>
      <c r="D32" s="71" t="s">
        <v>98</v>
      </c>
    </row>
    <row r="33" spans="1:4" x14ac:dyDescent="0.35">
      <c r="A33" s="75">
        <v>3.1</v>
      </c>
      <c r="B33" s="101" t="s">
        <v>28</v>
      </c>
      <c r="C33" s="78" t="s">
        <v>127</v>
      </c>
      <c r="D33" s="73" t="s">
        <v>128</v>
      </c>
    </row>
    <row r="34" spans="1:4" x14ac:dyDescent="0.35">
      <c r="A34" s="75">
        <v>3.2</v>
      </c>
      <c r="B34" s="101" t="s">
        <v>23</v>
      </c>
      <c r="C34" s="79" t="s">
        <v>129</v>
      </c>
      <c r="D34" s="73" t="s">
        <v>130</v>
      </c>
    </row>
    <row r="35" spans="1:4" x14ac:dyDescent="0.35">
      <c r="A35" s="75">
        <v>3.3</v>
      </c>
      <c r="B35" s="101" t="s">
        <v>90</v>
      </c>
      <c r="C35" s="98" t="s">
        <v>115</v>
      </c>
      <c r="D35" s="98" t="s">
        <v>123</v>
      </c>
    </row>
    <row r="36" spans="1:4" x14ac:dyDescent="0.35">
      <c r="A36" s="176" t="s">
        <v>93</v>
      </c>
      <c r="B36" s="176"/>
      <c r="C36" s="176"/>
      <c r="D36" s="176"/>
    </row>
    <row r="37" spans="1:4" x14ac:dyDescent="0.35">
      <c r="A37" s="80" t="s">
        <v>33</v>
      </c>
      <c r="B37" s="81" t="s">
        <v>34</v>
      </c>
      <c r="C37" s="81" t="s">
        <v>97</v>
      </c>
      <c r="D37" s="81" t="s">
        <v>98</v>
      </c>
    </row>
    <row r="38" spans="1:4" x14ac:dyDescent="0.35">
      <c r="A38" s="76">
        <v>4.0999999999999996</v>
      </c>
      <c r="B38" s="101" t="s">
        <v>13</v>
      </c>
      <c r="C38" s="77" t="s">
        <v>131</v>
      </c>
      <c r="D38" s="73" t="s">
        <v>132</v>
      </c>
    </row>
  </sheetData>
  <mergeCells count="11">
    <mergeCell ref="A36:D36"/>
    <mergeCell ref="A25:D25"/>
    <mergeCell ref="A15:D15"/>
    <mergeCell ref="A31:D31"/>
    <mergeCell ref="C12:D12"/>
    <mergeCell ref="A8:D8"/>
    <mergeCell ref="A10:D10"/>
    <mergeCell ref="A14:D14"/>
    <mergeCell ref="A1:D1"/>
    <mergeCell ref="A3:D3"/>
    <mergeCell ref="A4:D4"/>
  </mergeCells>
  <hyperlinks>
    <hyperlink ref="D9" r:id="rId1" xr:uid="{00000000-0004-0000-0200-000000000000}"/>
    <hyperlink ref="D11" r:id="rId2" xr:uid="{00000000-0004-0000-0200-000001000000}"/>
    <hyperlink ref="D6" r:id="rId3" xr:uid="{00000000-0004-0000-0200-000002000000}"/>
    <hyperlink ref="D7" r:id="rId4" xr:uid="{00000000-0004-0000-0200-000003000000}"/>
    <hyperlink ref="D13" r:id="rId5" xr:uid="{00000000-0004-0000-0200-000004000000}"/>
    <hyperlink ref="D20" r:id="rId6" xr:uid="{00000000-0004-0000-0200-000005000000}"/>
    <hyperlink ref="D26" r:id="rId7" xr:uid="{00000000-0004-0000-0200-000006000000}"/>
    <hyperlink ref="D23" r:id="rId8" xr:uid="{00000000-0004-0000-0200-000007000000}"/>
    <hyperlink ref="D18" r:id="rId9" xr:uid="{00000000-0004-0000-0200-000008000000}"/>
    <hyperlink ref="D19" r:id="rId10" xr:uid="{00000000-0004-0000-0200-000009000000}"/>
    <hyperlink ref="D38" r:id="rId11" xr:uid="{00000000-0004-0000-0200-00000A000000}"/>
    <hyperlink ref="D27" r:id="rId12" xr:uid="{00000000-0004-0000-0200-00000B000000}"/>
    <hyperlink ref="D33" r:id="rId13" xr:uid="{00000000-0004-0000-0200-00000C000000}"/>
    <hyperlink ref="D34" r:id="rId14" xr:uid="{00000000-0004-0000-0200-00000D000000}"/>
    <hyperlink ref="D30" r:id="rId15" xr:uid="{00000000-0004-0000-0200-00000E000000}"/>
    <hyperlink ref="D29" r:id="rId16" xr:uid="{00000000-0004-0000-0200-00000F000000}"/>
    <hyperlink ref="D24" r:id="rId17" xr:uid="{00000000-0004-0000-0200-000010000000}"/>
    <hyperlink ref="D21" r:id="rId18" xr:uid="{00000000-0004-0000-0200-000011000000}"/>
    <hyperlink ref="D22" r:id="rId19" xr:uid="{00000000-0004-0000-0200-000012000000}"/>
  </hyperlinks>
  <pageMargins left="0.31496062992125984" right="0.31496062992125984" top="0.39370078740157483" bottom="0.39370078740157483" header="0.31496062992125984" footer="0.31496062992125984"/>
  <pageSetup paperSize="9" orientation="landscape" horizontalDpi="1200" verticalDpi="1200" r:id="rId20"/>
  <customProperties>
    <customPr name="EpmWorksheetKeyString_GUID" r:id="rId2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B1:Y42"/>
  <sheetViews>
    <sheetView tabSelected="1" zoomScale="90" zoomScaleNormal="90" workbookViewId="0">
      <selection activeCell="C27" sqref="C27"/>
    </sheetView>
  </sheetViews>
  <sheetFormatPr baseColWidth="10" defaultColWidth="8.81640625" defaultRowHeight="14.5" x14ac:dyDescent="0.35"/>
  <cols>
    <col min="1" max="1" width="3.453125" style="10" customWidth="1"/>
    <col min="2" max="2" width="45.7265625" bestFit="1" customWidth="1"/>
    <col min="3" max="6" width="3.1796875" customWidth="1"/>
    <col min="7" max="7" width="6.81640625" hidden="1" customWidth="1"/>
    <col min="8" max="8" width="26.453125" hidden="1" customWidth="1"/>
    <col min="9" max="12" width="3" customWidth="1"/>
    <col min="13" max="13" width="3" style="3" customWidth="1"/>
    <col min="14" max="14" width="10.26953125" customWidth="1"/>
    <col min="15" max="15" width="8.54296875" customWidth="1"/>
    <col min="16" max="16" width="8" customWidth="1"/>
    <col min="17" max="17" width="3" style="3" customWidth="1"/>
    <col min="18" max="19" width="11.7265625" style="6" customWidth="1"/>
    <col min="20" max="20" width="11.7265625" style="7" customWidth="1"/>
    <col min="21" max="21" width="17.453125" style="7" bestFit="1" customWidth="1"/>
    <col min="22" max="22" width="13.54296875" style="8" bestFit="1" customWidth="1"/>
    <col min="23" max="23" width="13.54296875" style="8" customWidth="1"/>
    <col min="24" max="24" width="15.54296875" style="9" bestFit="1" customWidth="1"/>
    <col min="25" max="25" width="17" style="9" customWidth="1"/>
    <col min="26" max="16384" width="8.81640625" style="10"/>
  </cols>
  <sheetData>
    <row r="1" spans="2:25" ht="28.5" x14ac:dyDescent="0.65">
      <c r="B1" s="124" t="s">
        <v>187</v>
      </c>
      <c r="C1" s="2"/>
      <c r="D1" s="1"/>
      <c r="E1" s="1"/>
      <c r="F1" s="1"/>
      <c r="N1" s="4"/>
      <c r="O1" s="5"/>
      <c r="P1" s="5"/>
    </row>
    <row r="2" spans="2:25" ht="15.5" x14ac:dyDescent="0.35">
      <c r="B2" s="11" t="s">
        <v>0</v>
      </c>
      <c r="C2" s="12" t="s">
        <v>1</v>
      </c>
      <c r="D2" s="12"/>
      <c r="E2" s="12"/>
      <c r="F2" s="12"/>
      <c r="G2" s="11" t="s">
        <v>2</v>
      </c>
      <c r="H2" s="11" t="s">
        <v>145</v>
      </c>
      <c r="I2" s="13" t="s">
        <v>3</v>
      </c>
      <c r="J2" s="12"/>
      <c r="K2" s="12"/>
      <c r="L2" s="12"/>
      <c r="M2" s="14"/>
      <c r="N2" s="199" t="s">
        <v>4</v>
      </c>
      <c r="O2" s="200"/>
      <c r="P2" s="200"/>
      <c r="Q2" s="14"/>
      <c r="R2" s="199" t="s">
        <v>5</v>
      </c>
      <c r="S2" s="199"/>
      <c r="T2" s="199"/>
      <c r="U2" s="199"/>
      <c r="V2" s="199"/>
      <c r="W2" s="199"/>
      <c r="X2" s="199"/>
      <c r="Y2" s="199"/>
    </row>
    <row r="3" spans="2:25" s="20" customFormat="1" ht="105" customHeight="1" x14ac:dyDescent="0.35">
      <c r="B3" s="15"/>
      <c r="C3" s="16" t="s">
        <v>198</v>
      </c>
      <c r="D3" s="16" t="s">
        <v>192</v>
      </c>
      <c r="E3" s="16" t="s">
        <v>199</v>
      </c>
      <c r="F3" s="16" t="s">
        <v>197</v>
      </c>
      <c r="G3" s="15"/>
      <c r="H3" s="15"/>
      <c r="I3" s="119" t="s">
        <v>184</v>
      </c>
      <c r="J3" s="119" t="s">
        <v>183</v>
      </c>
      <c r="K3" s="119" t="s">
        <v>185</v>
      </c>
      <c r="L3" s="119" t="s">
        <v>186</v>
      </c>
      <c r="M3" s="17"/>
      <c r="N3" s="18"/>
      <c r="O3" s="19"/>
      <c r="P3" s="19"/>
      <c r="Q3" s="17"/>
      <c r="R3" s="130"/>
      <c r="S3" s="130"/>
      <c r="T3" s="131"/>
      <c r="U3" s="131"/>
      <c r="V3" s="165"/>
      <c r="W3" s="165"/>
      <c r="X3" s="166"/>
      <c r="Y3" s="166"/>
    </row>
    <row r="4" spans="2:25" ht="39.75" customHeight="1" x14ac:dyDescent="0.35">
      <c r="B4" s="105" t="s">
        <v>194</v>
      </c>
      <c r="C4" s="21"/>
      <c r="D4" s="21"/>
      <c r="E4" s="21"/>
      <c r="F4" s="21"/>
      <c r="G4" s="120"/>
      <c r="H4" s="120"/>
      <c r="I4" s="121"/>
      <c r="J4" s="121"/>
      <c r="K4" s="121"/>
      <c r="L4" s="121"/>
      <c r="M4" s="22"/>
      <c r="N4" s="126" t="s">
        <v>8</v>
      </c>
      <c r="O4" s="126" t="s">
        <v>4</v>
      </c>
      <c r="P4" s="126" t="s">
        <v>9</v>
      </c>
      <c r="Q4" s="22"/>
      <c r="R4" s="125" t="s">
        <v>179</v>
      </c>
      <c r="S4" s="125" t="s">
        <v>6</v>
      </c>
      <c r="T4" s="135" t="s">
        <v>143</v>
      </c>
      <c r="U4" s="135" t="s">
        <v>144</v>
      </c>
      <c r="V4" s="125" t="s">
        <v>7</v>
      </c>
      <c r="W4" s="134" t="s">
        <v>170</v>
      </c>
      <c r="X4" s="134" t="s">
        <v>142</v>
      </c>
      <c r="Y4" s="134" t="s">
        <v>171</v>
      </c>
    </row>
    <row r="5" spans="2:25" x14ac:dyDescent="0.35">
      <c r="B5" s="118" t="s">
        <v>190</v>
      </c>
      <c r="C5" s="23">
        <v>1</v>
      </c>
      <c r="D5" s="10"/>
      <c r="E5" s="10"/>
      <c r="F5" s="10"/>
      <c r="G5" s="10"/>
      <c r="H5" s="10"/>
      <c r="I5" s="140" t="s">
        <v>11</v>
      </c>
      <c r="J5" s="140" t="s">
        <v>11</v>
      </c>
      <c r="K5" s="140" t="s">
        <v>11</v>
      </c>
      <c r="L5" s="140" t="s">
        <v>11</v>
      </c>
      <c r="M5" s="136"/>
      <c r="N5" s="143">
        <v>1</v>
      </c>
      <c r="O5" s="144">
        <v>2</v>
      </c>
      <c r="P5" s="144">
        <v>2</v>
      </c>
      <c r="Q5" s="24"/>
      <c r="R5" s="167">
        <v>44098</v>
      </c>
      <c r="S5" s="167">
        <v>44098</v>
      </c>
      <c r="T5" s="133">
        <f>IF(AND(R5="",S5=""),"",IF(AND(R5="",S5&lt;&gt;""),"Start planen",IF(AND(R5&lt;&gt;"",S5=""),"Ende planen",S5-R5)))</f>
        <v>0</v>
      </c>
      <c r="U5" s="133" t="str">
        <f ca="1">IF(OR(S5="",Y5&lt;&gt;""),"",IF(TODAY()-S5&gt;0,(TODAY()-S5)&amp;" Tag(e) in Verzug",""))</f>
        <v/>
      </c>
      <c r="V5" s="168" t="s">
        <v>191</v>
      </c>
      <c r="W5" s="169">
        <v>44119</v>
      </c>
      <c r="X5" s="167" t="s">
        <v>189</v>
      </c>
      <c r="Y5" s="167">
        <v>44119</v>
      </c>
    </row>
    <row r="6" spans="2:25" x14ac:dyDescent="0.35">
      <c r="B6" s="118" t="s">
        <v>188</v>
      </c>
      <c r="C6" s="23">
        <v>1</v>
      </c>
      <c r="D6" s="23"/>
      <c r="E6" s="23"/>
      <c r="F6" s="23"/>
      <c r="G6" s="122" t="e">
        <f>VLOOKUP(B6,Hilfstabelle!$A$2:$B$23,2,FALSE)</f>
        <v>#N/A</v>
      </c>
      <c r="H6" s="147" t="s">
        <v>10</v>
      </c>
      <c r="I6" s="140" t="s">
        <v>11</v>
      </c>
      <c r="J6" s="140" t="s">
        <v>11</v>
      </c>
      <c r="K6" s="140" t="s">
        <v>11</v>
      </c>
      <c r="L6" s="140" t="s">
        <v>11</v>
      </c>
      <c r="M6" s="136"/>
      <c r="N6" s="143">
        <v>1</v>
      </c>
      <c r="O6" s="144">
        <v>2</v>
      </c>
      <c r="P6" s="144">
        <v>2</v>
      </c>
      <c r="Q6" s="24"/>
      <c r="R6" s="167">
        <v>44098</v>
      </c>
      <c r="S6" s="167">
        <v>44105</v>
      </c>
      <c r="T6" s="133">
        <f>IF(AND(R6="",S6=""),"",IF(AND(R6="",S6&lt;&gt;""),"Start planen",IF(AND(R6&lt;&gt;"",S6=""),"Ende planen",S6-R6)))</f>
        <v>7</v>
      </c>
      <c r="U6" s="133"/>
      <c r="V6" s="168" t="s">
        <v>191</v>
      </c>
      <c r="W6" s="169">
        <v>44105</v>
      </c>
      <c r="X6" s="167" t="s">
        <v>189</v>
      </c>
      <c r="Y6" s="167">
        <v>44105</v>
      </c>
    </row>
    <row r="7" spans="2:25" x14ac:dyDescent="0.35">
      <c r="B7" s="105" t="s">
        <v>193</v>
      </c>
      <c r="C7" s="21"/>
      <c r="D7" s="21"/>
      <c r="E7" s="21"/>
      <c r="F7" s="21"/>
      <c r="G7" s="120"/>
      <c r="H7" s="123"/>
      <c r="I7" s="141"/>
      <c r="J7" s="141"/>
      <c r="K7" s="141"/>
      <c r="L7" s="141"/>
      <c r="M7" s="137"/>
      <c r="N7" s="128"/>
      <c r="O7" s="128"/>
      <c r="P7" s="128"/>
      <c r="Q7" s="22"/>
      <c r="R7" s="170"/>
      <c r="S7" s="170"/>
      <c r="T7" s="171"/>
      <c r="U7" s="171"/>
      <c r="V7" s="172"/>
      <c r="W7" s="172"/>
      <c r="X7" s="132"/>
      <c r="Y7" s="132"/>
    </row>
    <row r="8" spans="2:25" x14ac:dyDescent="0.35">
      <c r="B8" s="118" t="s">
        <v>204</v>
      </c>
      <c r="C8" s="23"/>
      <c r="D8" s="23">
        <v>1</v>
      </c>
      <c r="E8" s="23"/>
      <c r="F8" s="23"/>
      <c r="G8" s="122" t="e">
        <f>VLOOKUP(B8,Hilfstabelle!$A$2:$B$23,2,FALSE)</f>
        <v>#N/A</v>
      </c>
      <c r="H8" s="151" t="s">
        <v>12</v>
      </c>
      <c r="I8" s="140" t="s">
        <v>11</v>
      </c>
      <c r="J8" s="140" t="s">
        <v>11</v>
      </c>
      <c r="K8" s="140" t="s">
        <v>11</v>
      </c>
      <c r="L8" s="140" t="s">
        <v>11</v>
      </c>
      <c r="M8" s="138"/>
      <c r="N8" s="129">
        <v>0.8</v>
      </c>
      <c r="O8" s="127">
        <v>1</v>
      </c>
      <c r="P8" s="127">
        <v>2</v>
      </c>
      <c r="R8" s="167">
        <v>44126</v>
      </c>
      <c r="S8" s="167"/>
      <c r="T8" s="133" t="str">
        <f>IF(AND(R8="",S8=""),"",IF(AND(R8="",S8&lt;&gt;""),"Start planen",IF(AND(R8&lt;&gt;"",S8=""),"Ende planen",S8-R8)))</f>
        <v>Ende planen</v>
      </c>
      <c r="U8" s="133" t="str">
        <f ca="1">IF(OR(S8="",Y8&lt;&gt;""),"",IF(TODAY()-S8&gt;0,(TODAY()-S8)&amp;" Tag(e) in Verzug",""))</f>
        <v/>
      </c>
      <c r="V8" s="168" t="s">
        <v>191</v>
      </c>
      <c r="W8" s="169"/>
      <c r="X8" s="146"/>
      <c r="Y8" s="167"/>
    </row>
    <row r="9" spans="2:25" x14ac:dyDescent="0.35">
      <c r="B9" s="118" t="s">
        <v>208</v>
      </c>
      <c r="C9" s="23"/>
      <c r="D9" s="23">
        <v>1</v>
      </c>
      <c r="E9" s="23"/>
      <c r="F9" s="23"/>
      <c r="G9" s="122" t="e">
        <f>VLOOKUP(B9,Hilfstabelle!$A$2:$B$23,2,FALSE)</f>
        <v>#N/A</v>
      </c>
      <c r="H9" s="151" t="s">
        <v>62</v>
      </c>
      <c r="I9" s="140" t="s">
        <v>11</v>
      </c>
      <c r="J9" s="140" t="s">
        <v>11</v>
      </c>
      <c r="K9" s="140" t="s">
        <v>11</v>
      </c>
      <c r="L9" s="140" t="s">
        <v>11</v>
      </c>
      <c r="M9" s="138"/>
      <c r="N9" s="129">
        <v>0.2</v>
      </c>
      <c r="O9" s="127">
        <v>1</v>
      </c>
      <c r="P9" s="127">
        <v>1</v>
      </c>
      <c r="R9" s="167">
        <v>44126</v>
      </c>
      <c r="S9" s="167"/>
      <c r="T9" s="133" t="str">
        <f>IF(AND(R9="",S9=""),"",IF(AND(R9="",S9&lt;&gt;""),"Start planen",IF(AND(R9&lt;&gt;"",S9=""),"Ende planen",S9-R9)))</f>
        <v>Ende planen</v>
      </c>
      <c r="U9" s="133" t="str">
        <f ca="1">IF(OR(S9="",Y9&lt;&gt;""),"",IF(TODAY()-S9&gt;0,(TODAY()-S9)&amp;" Tag(e) in Verzug",""))</f>
        <v/>
      </c>
      <c r="V9" s="168" t="s">
        <v>191</v>
      </c>
      <c r="W9" s="169"/>
      <c r="X9" s="146"/>
      <c r="Y9" s="167"/>
    </row>
    <row r="10" spans="2:25" x14ac:dyDescent="0.35">
      <c r="B10" s="118" t="s">
        <v>209</v>
      </c>
      <c r="C10" s="23"/>
      <c r="D10" s="23"/>
      <c r="E10" s="23"/>
      <c r="F10" s="23">
        <v>1</v>
      </c>
      <c r="G10" s="122" t="e">
        <f>VLOOKUP(B10,Hilfstabelle!$A$2:$B$23,2,FALSE)</f>
        <v>#N/A</v>
      </c>
      <c r="H10" s="151" t="s">
        <v>13</v>
      </c>
      <c r="I10" s="140" t="s">
        <v>11</v>
      </c>
      <c r="J10" s="140" t="s">
        <v>11</v>
      </c>
      <c r="K10" s="140" t="s">
        <v>11</v>
      </c>
      <c r="L10" s="140" t="s">
        <v>11</v>
      </c>
      <c r="M10" s="138"/>
      <c r="N10" s="129">
        <v>0.6</v>
      </c>
      <c r="O10" s="127">
        <v>1</v>
      </c>
      <c r="P10" s="127">
        <v>2</v>
      </c>
      <c r="R10" s="167">
        <v>44133</v>
      </c>
      <c r="S10" s="167"/>
      <c r="T10" s="133" t="str">
        <f>IF(AND(R10="",S10=""),"",IF(AND(R10="",S10&lt;&gt;""),"Start planen",IF(AND(R10&lt;&gt;"",S10=""),"Ende planen",S10-R10)))</f>
        <v>Ende planen</v>
      </c>
      <c r="U10" s="133" t="str">
        <f ca="1">IF(OR(S10="",Y10&lt;&gt;""),"",IF(TODAY()-S10&gt;0,(TODAY()-S10)&amp;" Tag(e) in Verzug",""))</f>
        <v/>
      </c>
      <c r="V10" s="168" t="s">
        <v>191</v>
      </c>
      <c r="W10" s="169"/>
      <c r="X10" s="146"/>
      <c r="Y10" s="167"/>
    </row>
    <row r="11" spans="2:25" x14ac:dyDescent="0.35">
      <c r="B11" s="105" t="s">
        <v>195</v>
      </c>
      <c r="C11" s="21"/>
      <c r="D11" s="21"/>
      <c r="E11" s="21"/>
      <c r="F11" s="21"/>
      <c r="G11" s="120"/>
      <c r="H11" s="123"/>
      <c r="I11" s="141"/>
      <c r="J11" s="141"/>
      <c r="K11" s="141"/>
      <c r="L11" s="141"/>
      <c r="M11" s="137"/>
      <c r="N11" s="128"/>
      <c r="O11" s="128"/>
      <c r="P11" s="128"/>
      <c r="Q11" s="22"/>
      <c r="R11" s="170"/>
      <c r="S11" s="170"/>
      <c r="T11" s="171"/>
      <c r="U11" s="171"/>
      <c r="V11" s="172"/>
      <c r="W11" s="172"/>
      <c r="X11" s="172"/>
      <c r="Y11" s="172"/>
    </row>
    <row r="12" spans="2:25" x14ac:dyDescent="0.35">
      <c r="B12" s="118" t="s">
        <v>204</v>
      </c>
      <c r="C12" s="23"/>
      <c r="D12" s="23"/>
      <c r="E12" s="23">
        <v>1</v>
      </c>
      <c r="F12" s="23"/>
      <c r="G12" s="122" t="e">
        <f>VLOOKUP(B12,Hilfstabelle!$A$2:$B$23,2,FALSE)</f>
        <v>#N/A</v>
      </c>
      <c r="H12" s="151" t="s">
        <v>14</v>
      </c>
      <c r="I12" s="140" t="s">
        <v>11</v>
      </c>
      <c r="J12" s="140" t="s">
        <v>11</v>
      </c>
      <c r="K12" s="140" t="s">
        <v>11</v>
      </c>
      <c r="L12" s="140" t="s">
        <v>11</v>
      </c>
      <c r="M12" s="137"/>
      <c r="N12" s="129">
        <v>0.6</v>
      </c>
      <c r="O12" s="127">
        <v>1</v>
      </c>
      <c r="P12" s="127">
        <v>2</v>
      </c>
      <c r="Q12" s="24"/>
      <c r="R12" s="167">
        <v>44140</v>
      </c>
      <c r="S12" s="167"/>
      <c r="T12" s="133" t="str">
        <f>IF(AND(R12="",S12=""),"",IF(AND(R12="",S12&lt;&gt;""),"Start planen",IF(AND(R12&lt;&gt;"",S12=""),"Ende planen",S12-R12)))</f>
        <v>Ende planen</v>
      </c>
      <c r="U12" s="133" t="str">
        <f ca="1">IF(OR(S12="",Y12&lt;&gt;""),"",IF(TODAY()-S12&gt;0,(TODAY()-S12)&amp;" Tag(e) in Verzug",""))</f>
        <v/>
      </c>
      <c r="V12" s="168" t="s">
        <v>191</v>
      </c>
      <c r="W12" s="169"/>
      <c r="X12" s="167"/>
      <c r="Y12" s="167"/>
    </row>
    <row r="13" spans="2:25" x14ac:dyDescent="0.35">
      <c r="B13" s="118" t="s">
        <v>205</v>
      </c>
      <c r="C13" s="23"/>
      <c r="D13" s="23"/>
      <c r="E13" s="23">
        <v>1</v>
      </c>
      <c r="F13" s="23"/>
      <c r="G13" s="122" t="e">
        <f>VLOOKUP(B13,Hilfstabelle!$A$2:$B$23,2,FALSE)</f>
        <v>#N/A</v>
      </c>
      <c r="H13" s="151" t="s">
        <v>14</v>
      </c>
      <c r="I13" s="140" t="s">
        <v>11</v>
      </c>
      <c r="J13" s="140"/>
      <c r="K13" s="142"/>
      <c r="L13" s="140" t="s">
        <v>11</v>
      </c>
      <c r="M13" s="136"/>
      <c r="N13" s="129">
        <v>0.2</v>
      </c>
      <c r="O13" s="127">
        <v>1</v>
      </c>
      <c r="P13" s="127">
        <v>1</v>
      </c>
      <c r="Q13" s="24"/>
      <c r="R13" s="167">
        <v>44147</v>
      </c>
      <c r="S13" s="167"/>
      <c r="T13" s="133" t="str">
        <f>IF(AND(R13="",S13=""),"",IF(AND(R13="",S13&lt;&gt;""),"Start planen",IF(AND(R13&lt;&gt;"",S13=""),"Ende planen",S13-R13)))</f>
        <v>Ende planen</v>
      </c>
      <c r="U13" s="133" t="str">
        <f ca="1">IF(OR(S13="",Y13&lt;&gt;""),"",IF(TODAY()-S13&gt;0,(TODAY()-S13)&amp;" Tag(e) in Verzug",""))</f>
        <v/>
      </c>
      <c r="V13" s="168" t="s">
        <v>210</v>
      </c>
      <c r="W13" s="169"/>
      <c r="X13" s="146"/>
      <c r="Y13" s="167"/>
    </row>
    <row r="14" spans="2:25" x14ac:dyDescent="0.35">
      <c r="B14" s="118" t="s">
        <v>206</v>
      </c>
      <c r="C14" s="23"/>
      <c r="D14" s="23"/>
      <c r="E14" s="23">
        <v>1</v>
      </c>
      <c r="F14" s="23"/>
      <c r="G14" s="122" t="e">
        <f>VLOOKUP(B14,Hilfstabelle!$A$2:$B$23,2,FALSE)</f>
        <v>#N/A</v>
      </c>
      <c r="H14" s="151" t="s">
        <v>15</v>
      </c>
      <c r="I14" s="140"/>
      <c r="J14" s="140" t="s">
        <v>11</v>
      </c>
      <c r="K14" s="140" t="s">
        <v>11</v>
      </c>
      <c r="L14" s="139"/>
      <c r="M14" s="136"/>
      <c r="N14" s="129">
        <v>0.2</v>
      </c>
      <c r="O14" s="127">
        <v>1</v>
      </c>
      <c r="P14" s="127">
        <v>1</v>
      </c>
      <c r="Q14" s="24"/>
      <c r="R14" s="167">
        <v>44147</v>
      </c>
      <c r="S14" s="167"/>
      <c r="T14" s="133" t="str">
        <f>IF(AND(R14="",S14=""),"",IF(AND(R14="",S14&lt;&gt;""),"Start planen",IF(AND(R14&lt;&gt;"",S14=""),"Ende planen",S14-R14)))</f>
        <v>Ende planen</v>
      </c>
      <c r="U14" s="133" t="str">
        <f ca="1">IF(OR(S14="",Y14&lt;&gt;""),"",IF(TODAY()-S14&gt;0,(TODAY()-S14)&amp;" Tag(e) in Verzug",""))</f>
        <v/>
      </c>
      <c r="V14" s="168" t="s">
        <v>211</v>
      </c>
      <c r="W14" s="169"/>
      <c r="X14" s="167"/>
      <c r="Y14" s="167"/>
    </row>
    <row r="15" spans="2:25" x14ac:dyDescent="0.35">
      <c r="B15" s="118" t="s">
        <v>207</v>
      </c>
      <c r="C15" s="23"/>
      <c r="D15" s="23"/>
      <c r="E15" s="23" t="s">
        <v>11</v>
      </c>
      <c r="F15" s="23"/>
      <c r="G15" s="122"/>
      <c r="H15" s="151"/>
      <c r="I15" s="140"/>
      <c r="J15" s="140"/>
      <c r="K15" s="140" t="s">
        <v>11</v>
      </c>
      <c r="L15" s="139"/>
      <c r="M15" s="136"/>
      <c r="N15" s="129">
        <v>0.8</v>
      </c>
      <c r="O15" s="127">
        <v>2</v>
      </c>
      <c r="P15" s="127">
        <v>2</v>
      </c>
      <c r="Q15" s="24"/>
      <c r="R15" s="167">
        <v>44144</v>
      </c>
      <c r="S15" s="167"/>
      <c r="T15" s="133" t="str">
        <f t="shared" ref="T15" si="0">IF(AND(R15="",S15=""),"",IF(AND(R15="",S15&lt;&gt;""),"Start planen",IF(AND(R15&lt;&gt;"",S15=""),"Ende planen",S15-R15)))</f>
        <v>Ende planen</v>
      </c>
      <c r="U15" s="133"/>
      <c r="V15" s="168" t="s">
        <v>185</v>
      </c>
      <c r="W15" s="169"/>
      <c r="X15" s="167"/>
      <c r="Y15" s="167"/>
    </row>
    <row r="16" spans="2:25" x14ac:dyDescent="0.35">
      <c r="B16" s="105" t="s">
        <v>197</v>
      </c>
      <c r="C16" s="21"/>
      <c r="D16" s="21"/>
      <c r="E16" s="21"/>
      <c r="F16" s="21"/>
      <c r="G16" s="120"/>
      <c r="H16" s="123"/>
      <c r="I16" s="141"/>
      <c r="J16" s="141"/>
      <c r="K16" s="141"/>
      <c r="L16" s="141"/>
      <c r="M16" s="137"/>
      <c r="N16" s="128"/>
      <c r="O16" s="128"/>
      <c r="P16" s="128"/>
      <c r="Q16" s="22"/>
      <c r="R16" s="170"/>
      <c r="S16" s="170"/>
      <c r="T16" s="171"/>
      <c r="U16" s="171"/>
      <c r="V16" s="172"/>
      <c r="W16" s="172"/>
      <c r="X16" s="172"/>
      <c r="Y16" s="172"/>
    </row>
    <row r="17" spans="2:25" x14ac:dyDescent="0.35">
      <c r="B17" s="118" t="s">
        <v>200</v>
      </c>
      <c r="C17" s="23"/>
      <c r="D17" s="23"/>
      <c r="E17" s="23"/>
      <c r="F17" s="23">
        <v>1</v>
      </c>
      <c r="G17" s="122" t="e">
        <f>VLOOKUP(B17,Hilfstabelle!$A$2:$B$23,2,FALSE)</f>
        <v>#N/A</v>
      </c>
      <c r="H17" s="151" t="s">
        <v>16</v>
      </c>
      <c r="I17" s="140"/>
      <c r="J17" s="140" t="s">
        <v>11</v>
      </c>
      <c r="K17" s="140"/>
      <c r="L17" s="140"/>
      <c r="M17" s="136"/>
      <c r="N17" s="129">
        <v>1</v>
      </c>
      <c r="O17" s="127">
        <v>2</v>
      </c>
      <c r="P17" s="127">
        <v>2</v>
      </c>
      <c r="Q17" s="24"/>
      <c r="R17" s="167">
        <v>44112</v>
      </c>
      <c r="S17" s="167">
        <v>44119</v>
      </c>
      <c r="T17" s="133">
        <f>IF(AND(R17="",S17=""),"",IF(AND(R17="",S17&lt;&gt;""),"Start planen",IF(AND(R17&lt;&gt;"",S17=""),"Ende planen",S17-R17)))</f>
        <v>7</v>
      </c>
      <c r="U17" s="133" t="str">
        <f ca="1">IF(OR(S17="",Y17&lt;&gt;""),"",IF(TODAY()-S17&gt;0,(TODAY()-S17)&amp;" Tag(e) in Verzug",""))</f>
        <v/>
      </c>
      <c r="V17" s="168" t="s">
        <v>183</v>
      </c>
      <c r="W17" s="169">
        <v>44119</v>
      </c>
      <c r="X17" s="146" t="s">
        <v>183</v>
      </c>
      <c r="Y17" s="167">
        <v>44119</v>
      </c>
    </row>
    <row r="18" spans="2:25" ht="15" customHeight="1" x14ac:dyDescent="0.35">
      <c r="B18" s="118" t="s">
        <v>196</v>
      </c>
      <c r="C18" s="23"/>
      <c r="D18" s="23"/>
      <c r="E18" s="23"/>
      <c r="F18" s="23">
        <v>1</v>
      </c>
      <c r="G18" s="122" t="e">
        <f>VLOOKUP(B18,Hilfstabelle!$A$2:$B$23,2,FALSE)</f>
        <v>#N/A</v>
      </c>
      <c r="H18" s="151" t="s">
        <v>16</v>
      </c>
      <c r="I18" s="140" t="s">
        <v>11</v>
      </c>
      <c r="J18" s="140" t="s">
        <v>11</v>
      </c>
      <c r="K18" s="140" t="s">
        <v>11</v>
      </c>
      <c r="L18" s="140" t="s">
        <v>11</v>
      </c>
      <c r="M18" s="136"/>
      <c r="N18" s="129">
        <v>0.2</v>
      </c>
      <c r="O18" s="127">
        <v>1</v>
      </c>
      <c r="P18" s="127">
        <v>1</v>
      </c>
      <c r="Q18" s="24"/>
      <c r="R18" s="167">
        <v>44105</v>
      </c>
      <c r="S18" s="167">
        <v>44182</v>
      </c>
      <c r="T18" s="133">
        <f t="shared" ref="T18:T21" si="1">IF(AND(R18="",S18=""),"",IF(AND(R18="",S18&lt;&gt;""),"Start planen",IF(AND(R18&lt;&gt;"",S18=""),"Ende planen",S18-R18)))</f>
        <v>77</v>
      </c>
      <c r="U18" s="133" t="str">
        <f t="shared" ref="U18:U21" ca="1" si="2">IF(OR(S18="",Y18&lt;&gt;""),"",IF(TODAY()-S18&gt;0,(TODAY()-S18)&amp;" Tag(e) in Verzug",""))</f>
        <v/>
      </c>
      <c r="V18" s="168"/>
      <c r="W18" s="169"/>
      <c r="X18" s="146"/>
      <c r="Y18" s="167"/>
    </row>
    <row r="19" spans="2:25" x14ac:dyDescent="0.35">
      <c r="B19" s="118" t="s">
        <v>203</v>
      </c>
      <c r="C19" s="23"/>
      <c r="D19" s="23"/>
      <c r="E19" s="23"/>
      <c r="F19" s="23">
        <v>1</v>
      </c>
      <c r="G19" s="122"/>
      <c r="H19" s="151"/>
      <c r="I19" s="140"/>
      <c r="J19" s="140"/>
      <c r="K19" s="140" t="s">
        <v>11</v>
      </c>
      <c r="L19" s="140"/>
      <c r="M19" s="136"/>
      <c r="N19" s="129">
        <v>0.5</v>
      </c>
      <c r="O19" s="127">
        <v>1</v>
      </c>
      <c r="P19" s="127">
        <v>1</v>
      </c>
      <c r="Q19" s="24"/>
      <c r="R19" s="167">
        <v>44105</v>
      </c>
      <c r="S19" s="167">
        <v>44182</v>
      </c>
      <c r="T19" s="133">
        <f t="shared" si="1"/>
        <v>77</v>
      </c>
      <c r="U19" s="133" t="str">
        <f t="shared" ca="1" si="2"/>
        <v/>
      </c>
      <c r="V19" s="168" t="s">
        <v>185</v>
      </c>
      <c r="W19" s="169"/>
      <c r="X19" s="146"/>
      <c r="Y19" s="167"/>
    </row>
    <row r="20" spans="2:25" x14ac:dyDescent="0.35">
      <c r="B20" s="118" t="s">
        <v>201</v>
      </c>
      <c r="C20" s="23"/>
      <c r="D20" s="23"/>
      <c r="E20" s="23"/>
      <c r="F20" s="23">
        <v>1</v>
      </c>
      <c r="G20" s="122"/>
      <c r="H20" s="151"/>
      <c r="I20" s="140" t="s">
        <v>11</v>
      </c>
      <c r="J20" s="140" t="s">
        <v>11</v>
      </c>
      <c r="K20" s="140" t="s">
        <v>11</v>
      </c>
      <c r="L20" s="140" t="s">
        <v>11</v>
      </c>
      <c r="M20" s="136"/>
      <c r="N20" s="129">
        <v>0</v>
      </c>
      <c r="O20" s="127">
        <v>1</v>
      </c>
      <c r="P20" s="127">
        <v>1</v>
      </c>
      <c r="Q20" s="24"/>
      <c r="R20" s="167">
        <v>44175</v>
      </c>
      <c r="S20" s="167">
        <v>44182</v>
      </c>
      <c r="T20" s="133">
        <f t="shared" si="1"/>
        <v>7</v>
      </c>
      <c r="U20" s="133" t="str">
        <f t="shared" ca="1" si="2"/>
        <v/>
      </c>
      <c r="V20" s="168"/>
      <c r="W20" s="169"/>
      <c r="X20" s="146"/>
      <c r="Y20" s="167"/>
    </row>
    <row r="21" spans="2:25" x14ac:dyDescent="0.35">
      <c r="B21" s="118" t="s">
        <v>202</v>
      </c>
      <c r="C21" s="23"/>
      <c r="D21" s="23"/>
      <c r="E21" s="23"/>
      <c r="F21" s="23">
        <v>1</v>
      </c>
      <c r="G21" s="122"/>
      <c r="H21" s="151"/>
      <c r="I21" s="140" t="s">
        <v>11</v>
      </c>
      <c r="J21" s="140" t="s">
        <v>11</v>
      </c>
      <c r="K21" s="140" t="s">
        <v>11</v>
      </c>
      <c r="L21" s="140" t="s">
        <v>11</v>
      </c>
      <c r="M21" s="136"/>
      <c r="N21" s="129">
        <v>0</v>
      </c>
      <c r="O21" s="127">
        <v>1</v>
      </c>
      <c r="P21" s="127">
        <v>1</v>
      </c>
      <c r="Q21" s="24"/>
      <c r="R21" s="167">
        <v>44175</v>
      </c>
      <c r="S21" s="167">
        <v>44182</v>
      </c>
      <c r="T21" s="133">
        <f t="shared" si="1"/>
        <v>7</v>
      </c>
      <c r="U21" s="133" t="str">
        <f t="shared" ca="1" si="2"/>
        <v/>
      </c>
      <c r="V21" s="168"/>
      <c r="W21" s="169"/>
      <c r="X21" s="146"/>
      <c r="Y21" s="167"/>
    </row>
    <row r="22" spans="2:25" x14ac:dyDescent="0.35">
      <c r="B22" s="118"/>
      <c r="C22" s="23"/>
      <c r="D22" s="23"/>
      <c r="E22" s="23"/>
      <c r="F22" s="23"/>
      <c r="G22" s="122"/>
      <c r="H22" s="151"/>
      <c r="I22" s="139"/>
      <c r="J22" s="140"/>
      <c r="K22" s="142"/>
      <c r="L22" s="139"/>
      <c r="M22" s="136"/>
      <c r="N22" s="129"/>
      <c r="O22" s="127"/>
      <c r="P22" s="127"/>
      <c r="Q22" s="24"/>
      <c r="R22" s="145"/>
      <c r="S22" s="145"/>
      <c r="T22" s="133"/>
      <c r="U22" s="133"/>
      <c r="V22" s="107"/>
      <c r="W22" s="107"/>
      <c r="X22" s="146"/>
      <c r="Y22" s="167"/>
    </row>
    <row r="23" spans="2:25" x14ac:dyDescent="0.35">
      <c r="B23" s="118"/>
      <c r="C23" s="23"/>
      <c r="D23" s="23"/>
      <c r="E23" s="23"/>
      <c r="F23" s="23"/>
      <c r="G23" s="122"/>
      <c r="H23" s="151"/>
      <c r="I23" s="139"/>
      <c r="J23" s="140"/>
      <c r="K23" s="142"/>
      <c r="L23" s="139"/>
      <c r="M23" s="136"/>
      <c r="N23" s="129"/>
      <c r="O23" s="127"/>
      <c r="P23" s="127"/>
      <c r="Q23" s="24"/>
      <c r="R23" s="145"/>
      <c r="S23" s="145"/>
      <c r="T23" s="133"/>
      <c r="U23" s="133"/>
      <c r="V23" s="107"/>
      <c r="W23" s="107"/>
      <c r="X23" s="146"/>
      <c r="Y23" s="167"/>
    </row>
    <row r="24" spans="2:25" x14ac:dyDescent="0.35">
      <c r="B24" s="118"/>
      <c r="C24" s="23"/>
      <c r="D24" s="23"/>
      <c r="E24" s="23"/>
      <c r="F24" s="23"/>
      <c r="G24" s="122"/>
      <c r="H24" s="151"/>
      <c r="I24" s="139"/>
      <c r="J24" s="140"/>
      <c r="K24" s="142"/>
      <c r="L24" s="139"/>
      <c r="M24" s="136"/>
      <c r="N24" s="129"/>
      <c r="O24" s="127"/>
      <c r="P24" s="127"/>
      <c r="Q24" s="24"/>
      <c r="R24" s="145"/>
      <c r="S24" s="145"/>
      <c r="T24" s="133"/>
      <c r="U24" s="133"/>
      <c r="V24" s="107"/>
      <c r="W24" s="107"/>
      <c r="X24" s="146"/>
      <c r="Y24" s="167"/>
    </row>
    <row r="25" spans="2:25" x14ac:dyDescent="0.35">
      <c r="B25" s="118"/>
      <c r="C25" s="23"/>
      <c r="D25" s="23"/>
      <c r="E25" s="23"/>
      <c r="F25" s="23"/>
      <c r="G25" s="122"/>
      <c r="H25" s="151"/>
      <c r="I25" s="139"/>
      <c r="J25" s="140"/>
      <c r="K25" s="142"/>
      <c r="L25" s="139"/>
      <c r="M25" s="136"/>
      <c r="N25" s="129"/>
      <c r="O25" s="127"/>
      <c r="P25" s="127"/>
      <c r="Q25" s="24"/>
      <c r="R25" s="145"/>
      <c r="S25" s="145"/>
      <c r="T25" s="133"/>
      <c r="U25" s="133"/>
      <c r="V25" s="107"/>
      <c r="W25" s="107"/>
      <c r="X25" s="146"/>
      <c r="Y25" s="167"/>
    </row>
    <row r="26" spans="2:25" x14ac:dyDescent="0.35">
      <c r="B26" s="118"/>
      <c r="C26" s="23"/>
      <c r="D26" s="23"/>
      <c r="E26" s="23"/>
      <c r="F26" s="23"/>
      <c r="G26" s="122"/>
      <c r="H26" s="151"/>
      <c r="I26" s="139"/>
      <c r="J26" s="140"/>
      <c r="K26" s="142"/>
      <c r="L26" s="139"/>
      <c r="M26" s="136"/>
      <c r="N26" s="129"/>
      <c r="O26" s="127"/>
      <c r="P26" s="127"/>
      <c r="Q26" s="24"/>
      <c r="R26" s="145"/>
      <c r="S26" s="145"/>
      <c r="T26" s="133"/>
      <c r="U26" s="133"/>
      <c r="V26" s="107"/>
      <c r="W26" s="107"/>
      <c r="X26" s="146"/>
      <c r="Y26" s="167"/>
    </row>
    <row r="27" spans="2:25" x14ac:dyDescent="0.35">
      <c r="R27" s="29"/>
      <c r="S27" s="29"/>
      <c r="T27" s="33"/>
      <c r="U27" s="33"/>
      <c r="V27" s="34"/>
      <c r="W27" s="34"/>
      <c r="X27" s="28"/>
      <c r="Y27" s="28"/>
    </row>
    <row r="28" spans="2:25" x14ac:dyDescent="0.35">
      <c r="R28" s="29"/>
      <c r="S28" s="29"/>
      <c r="T28" s="33"/>
      <c r="U28" s="33"/>
      <c r="V28" s="35"/>
      <c r="W28" s="35"/>
      <c r="X28" s="28"/>
      <c r="Y28" s="28"/>
    </row>
    <row r="29" spans="2:25" x14ac:dyDescent="0.35">
      <c r="R29" s="29"/>
      <c r="S29" s="29"/>
      <c r="T29" s="33"/>
      <c r="U29" s="33"/>
      <c r="V29" s="35"/>
      <c r="W29" s="35"/>
      <c r="X29" s="28"/>
      <c r="Y29" s="28"/>
    </row>
    <row r="30" spans="2:25" x14ac:dyDescent="0.35">
      <c r="R30" s="29"/>
      <c r="S30" s="29"/>
      <c r="T30" s="33"/>
      <c r="U30" s="33"/>
      <c r="V30" s="35"/>
      <c r="W30" s="35"/>
      <c r="X30" s="28"/>
      <c r="Y30" s="28"/>
    </row>
    <row r="31" spans="2:25" x14ac:dyDescent="0.35">
      <c r="R31" s="29"/>
      <c r="S31" s="29"/>
      <c r="T31" s="33"/>
      <c r="U31" s="33"/>
      <c r="V31" s="35"/>
      <c r="W31" s="35"/>
      <c r="X31" s="28"/>
      <c r="Y31" s="28"/>
    </row>
    <row r="32" spans="2:25" x14ac:dyDescent="0.35">
      <c r="R32" s="29"/>
      <c r="S32" s="29"/>
      <c r="T32" s="33"/>
      <c r="U32" s="33"/>
      <c r="V32" s="34"/>
      <c r="W32" s="34"/>
      <c r="X32" s="28"/>
      <c r="Y32" s="28"/>
    </row>
    <row r="33" spans="18:25" x14ac:dyDescent="0.35">
      <c r="R33" s="29"/>
      <c r="S33" s="29"/>
      <c r="T33" s="33"/>
      <c r="U33" s="33"/>
      <c r="V33" s="34"/>
      <c r="W33" s="34"/>
      <c r="X33" s="28"/>
      <c r="Y33" s="28"/>
    </row>
    <row r="34" spans="18:25" x14ac:dyDescent="0.35">
      <c r="R34" s="29"/>
      <c r="S34" s="29"/>
      <c r="T34" s="33"/>
      <c r="U34" s="33"/>
      <c r="V34" s="34"/>
      <c r="W34" s="34"/>
      <c r="X34" s="28"/>
      <c r="Y34" s="28"/>
    </row>
    <row r="35" spans="18:25" x14ac:dyDescent="0.35">
      <c r="R35" s="25"/>
      <c r="S35" s="25"/>
      <c r="T35" s="26"/>
      <c r="U35" s="26"/>
      <c r="V35" s="31"/>
      <c r="W35" s="31"/>
      <c r="X35" s="32"/>
      <c r="Y35" s="32"/>
    </row>
    <row r="36" spans="18:25" x14ac:dyDescent="0.35">
      <c r="R36" s="29"/>
      <c r="S36" s="36"/>
      <c r="T36" s="30"/>
      <c r="U36" s="30"/>
      <c r="V36" s="34"/>
      <c r="W36" s="34"/>
      <c r="X36" s="37"/>
      <c r="Y36" s="37"/>
    </row>
    <row r="37" spans="18:25" x14ac:dyDescent="0.35">
      <c r="R37" s="29"/>
      <c r="S37" s="36"/>
      <c r="T37" s="30"/>
      <c r="U37" s="30"/>
      <c r="V37" s="34"/>
      <c r="W37" s="34"/>
      <c r="X37" s="38"/>
      <c r="Y37" s="38"/>
    </row>
    <row r="38" spans="18:25" x14ac:dyDescent="0.35">
      <c r="R38" s="29"/>
      <c r="S38" s="36"/>
      <c r="T38" s="30"/>
      <c r="U38" s="30"/>
      <c r="V38" s="34"/>
      <c r="W38" s="34"/>
      <c r="X38" s="37"/>
      <c r="Y38" s="37"/>
    </row>
    <row r="39" spans="18:25" x14ac:dyDescent="0.35">
      <c r="R39" s="29"/>
      <c r="S39" s="36"/>
      <c r="T39" s="30"/>
      <c r="U39" s="30"/>
      <c r="V39" s="34"/>
      <c r="W39" s="34"/>
      <c r="X39" s="37"/>
      <c r="Y39" s="37"/>
    </row>
    <row r="40" spans="18:25" x14ac:dyDescent="0.35">
      <c r="R40" s="39"/>
      <c r="S40" s="39"/>
      <c r="T40" s="33"/>
      <c r="U40" s="33"/>
      <c r="V40" s="27"/>
      <c r="W40" s="27"/>
      <c r="X40" s="37"/>
      <c r="Y40" s="37"/>
    </row>
    <row r="41" spans="18:25" x14ac:dyDescent="0.35">
      <c r="R41" s="39"/>
      <c r="S41" s="39"/>
      <c r="T41" s="33"/>
      <c r="U41" s="33"/>
      <c r="V41" s="37"/>
      <c r="W41" s="37"/>
      <c r="X41" s="37"/>
      <c r="Y41" s="37"/>
    </row>
    <row r="42" spans="18:25" x14ac:dyDescent="0.35">
      <c r="V42" s="9"/>
      <c r="W42" s="9"/>
    </row>
  </sheetData>
  <sheetProtection selectLockedCells="1"/>
  <autoFilter ref="B3:Y19" xr:uid="{00000000-0009-0000-0000-000003000000}"/>
  <mergeCells count="2">
    <mergeCell ref="N2:P2"/>
    <mergeCell ref="R2:Y2"/>
  </mergeCells>
  <conditionalFormatting sqref="H8:H10">
    <cfRule type="containsText" dxfId="214" priority="130" operator="containsText" text="x">
      <formula>NOT(ISERROR(SEARCH("x",H8)))</formula>
    </cfRule>
  </conditionalFormatting>
  <conditionalFormatting sqref="C4:F4">
    <cfRule type="containsText" dxfId="213" priority="129" operator="containsText" text="x">
      <formula>NOT(ISERROR(SEARCH("x",C4)))</formula>
    </cfRule>
  </conditionalFormatting>
  <conditionalFormatting sqref="C13:D15 C6:F10 C22:F26 C19 E19 C20:E21 F13:F15">
    <cfRule type="cellIs" dxfId="212" priority="128" operator="greaterThan">
      <formula>0</formula>
    </cfRule>
  </conditionalFormatting>
  <conditionalFormatting sqref="C11:F11">
    <cfRule type="cellIs" dxfId="211" priority="127" operator="greaterThan">
      <formula>0</formula>
    </cfRule>
  </conditionalFormatting>
  <conditionalFormatting sqref="C16:F16">
    <cfRule type="cellIs" dxfId="210" priority="126" operator="greaterThan">
      <formula>0</formula>
    </cfRule>
  </conditionalFormatting>
  <conditionalFormatting sqref="U22:U26">
    <cfRule type="cellIs" dxfId="209" priority="118" operator="greaterThan">
      <formula>""""""</formula>
    </cfRule>
  </conditionalFormatting>
  <conditionalFormatting sqref="C17 E17">
    <cfRule type="cellIs" dxfId="208" priority="59" operator="greaterThan">
      <formula>0</formula>
    </cfRule>
  </conditionalFormatting>
  <conditionalFormatting sqref="C18 E18">
    <cfRule type="cellIs" dxfId="207" priority="54" operator="greaterThan">
      <formula>0</formula>
    </cfRule>
  </conditionalFormatting>
  <conditionalFormatting sqref="O17">
    <cfRule type="iconSet" priority="51">
      <iconSet showValue="0">
        <cfvo type="percent" val="0"/>
        <cfvo type="num" val="1"/>
        <cfvo type="num" val="2"/>
      </iconSet>
    </cfRule>
  </conditionalFormatting>
  <conditionalFormatting sqref="P17">
    <cfRule type="iconSet" priority="52">
      <iconSet iconSet="3Arrows" showValue="0">
        <cfvo type="percent" val="0"/>
        <cfvo type="num" val="1"/>
        <cfvo type="num" val="2"/>
      </iconSet>
    </cfRule>
  </conditionalFormatting>
  <conditionalFormatting sqref="O18">
    <cfRule type="iconSet" priority="49">
      <iconSet showValue="0">
        <cfvo type="percent" val="0"/>
        <cfvo type="num" val="1"/>
        <cfvo type="num" val="2"/>
      </iconSet>
    </cfRule>
  </conditionalFormatting>
  <conditionalFormatting sqref="P18">
    <cfRule type="iconSet" priority="50">
      <iconSet iconSet="3Arrows" showValue="0">
        <cfvo type="percent" val="0"/>
        <cfvo type="num" val="1"/>
        <cfvo type="num" val="2"/>
      </iconSet>
    </cfRule>
  </conditionalFormatting>
  <conditionalFormatting sqref="O19:O20">
    <cfRule type="iconSet" priority="43">
      <iconSet showValue="0">
        <cfvo type="percent" val="0"/>
        <cfvo type="num" val="1"/>
        <cfvo type="num" val="2"/>
      </iconSet>
    </cfRule>
  </conditionalFormatting>
  <conditionalFormatting sqref="P19:P20">
    <cfRule type="iconSet" priority="44">
      <iconSet iconSet="3Arrows" showValue="0">
        <cfvo type="percent" val="0"/>
        <cfvo type="num" val="1"/>
        <cfvo type="num" val="2"/>
      </iconSet>
    </cfRule>
  </conditionalFormatting>
  <conditionalFormatting sqref="N17:N18">
    <cfRule type="dataBar" priority="39">
      <dataBar>
        <cfvo type="percent" val="0"/>
        <cfvo type="percent" val="100"/>
        <color rgb="FF638EC6"/>
      </dataBar>
    </cfRule>
  </conditionalFormatting>
  <conditionalFormatting sqref="O13">
    <cfRule type="iconSet" priority="38">
      <iconSet showValue="0">
        <cfvo type="percent" val="0"/>
        <cfvo type="num" val="1"/>
        <cfvo type="num" val="2"/>
      </iconSet>
    </cfRule>
  </conditionalFormatting>
  <conditionalFormatting sqref="P13">
    <cfRule type="iconSet" priority="36">
      <iconSet iconSet="3Arrows" showValue="0">
        <cfvo type="percent" val="0"/>
        <cfvo type="num" val="1"/>
        <cfvo type="num" val="2"/>
      </iconSet>
    </cfRule>
  </conditionalFormatting>
  <conditionalFormatting sqref="P22:P26">
    <cfRule type="iconSet" priority="297">
      <iconSet iconSet="3Arrows" showValue="0">
        <cfvo type="percent" val="0"/>
        <cfvo type="num" val="1"/>
        <cfvo type="num" val="2"/>
      </iconSet>
    </cfRule>
  </conditionalFormatting>
  <conditionalFormatting sqref="O22:O26">
    <cfRule type="iconSet" priority="298">
      <iconSet showValue="0">
        <cfvo type="percent" val="0"/>
        <cfvo type="num" val="1"/>
        <cfvo type="num" val="2"/>
      </iconSet>
    </cfRule>
  </conditionalFormatting>
  <conditionalFormatting sqref="N22:N26">
    <cfRule type="dataBar" priority="299">
      <dataBar>
        <cfvo type="percent" val="0"/>
        <cfvo type="percent" val="100"/>
        <color rgb="FF638EC6"/>
      </dataBar>
    </cfRule>
  </conditionalFormatting>
  <conditionalFormatting sqref="C12:D12 F12">
    <cfRule type="cellIs" dxfId="206" priority="32" operator="greaterThan">
      <formula>0</formula>
    </cfRule>
  </conditionalFormatting>
  <conditionalFormatting sqref="O12">
    <cfRule type="iconSet" priority="29">
      <iconSet showValue="0">
        <cfvo type="percent" val="0"/>
        <cfvo type="num" val="1"/>
        <cfvo type="num" val="2"/>
      </iconSet>
    </cfRule>
  </conditionalFormatting>
  <conditionalFormatting sqref="P12">
    <cfRule type="iconSet" priority="28">
      <iconSet iconSet="3Arrows" showValue="0">
        <cfvo type="percent" val="0"/>
        <cfvo type="num" val="1"/>
        <cfvo type="num" val="2"/>
      </iconSet>
    </cfRule>
  </conditionalFormatting>
  <conditionalFormatting sqref="N12">
    <cfRule type="dataBar" priority="31">
      <dataBar>
        <cfvo type="percent" val="0"/>
        <cfvo type="percent" val="100"/>
        <color rgb="FF638EC6"/>
      </dataBar>
    </cfRule>
  </conditionalFormatting>
  <conditionalFormatting sqref="U12">
    <cfRule type="cellIs" dxfId="205" priority="27" operator="greaterThan">
      <formula>""""""</formula>
    </cfRule>
  </conditionalFormatting>
  <conditionalFormatting sqref="U13">
    <cfRule type="cellIs" dxfId="204" priority="26" operator="greaterThan">
      <formula>""""""</formula>
    </cfRule>
  </conditionalFormatting>
  <conditionalFormatting sqref="U14:U15">
    <cfRule type="cellIs" dxfId="203" priority="25" operator="greaterThan">
      <formula>""""""</formula>
    </cfRule>
  </conditionalFormatting>
  <conditionalFormatting sqref="U17:U21">
    <cfRule type="cellIs" dxfId="202" priority="23" operator="greaterThan">
      <formula>""""""</formula>
    </cfRule>
  </conditionalFormatting>
  <conditionalFormatting sqref="U5:U6">
    <cfRule type="cellIs" dxfId="201" priority="20" operator="greaterThan">
      <formula>""""""</formula>
    </cfRule>
  </conditionalFormatting>
  <conditionalFormatting sqref="U8">
    <cfRule type="cellIs" dxfId="200" priority="19" operator="greaterThan">
      <formula>""""""</formula>
    </cfRule>
  </conditionalFormatting>
  <conditionalFormatting sqref="U9">
    <cfRule type="cellIs" dxfId="199" priority="18" operator="greaterThan">
      <formula>""""""</formula>
    </cfRule>
  </conditionalFormatting>
  <conditionalFormatting sqref="U10">
    <cfRule type="cellIs" dxfId="198" priority="17" operator="greaterThan">
      <formula>""""""</formula>
    </cfRule>
  </conditionalFormatting>
  <conditionalFormatting sqref="C5">
    <cfRule type="cellIs" dxfId="197" priority="16" operator="greaterThan">
      <formula>0</formula>
    </cfRule>
  </conditionalFormatting>
  <conditionalFormatting sqref="P6">
    <cfRule type="iconSet" priority="13">
      <iconSet iconSet="3Arrows" showValue="0">
        <cfvo type="percent" val="0"/>
        <cfvo type="num" val="1"/>
        <cfvo type="num" val="2"/>
      </iconSet>
    </cfRule>
  </conditionalFormatting>
  <conditionalFormatting sqref="O6">
    <cfRule type="iconSet" priority="14">
      <iconSet showValue="0">
        <cfvo type="percent" val="0"/>
        <cfvo type="num" val="1"/>
        <cfvo type="num" val="2"/>
      </iconSet>
    </cfRule>
  </conditionalFormatting>
  <conditionalFormatting sqref="N6">
    <cfRule type="dataBar" priority="15">
      <dataBar>
        <cfvo type="percent" val="0"/>
        <cfvo type="percent" val="100"/>
        <color rgb="FF638EC6"/>
      </dataBar>
    </cfRule>
  </conditionalFormatting>
  <conditionalFormatting sqref="N19:N21 N13:N15 N5 N8:N10">
    <cfRule type="dataBar" priority="325">
      <dataBar>
        <cfvo type="percent" val="0"/>
        <cfvo type="percent" val="100"/>
        <color rgb="FF638EC6"/>
      </dataBar>
    </cfRule>
  </conditionalFormatting>
  <conditionalFormatting sqref="F19">
    <cfRule type="cellIs" dxfId="196" priority="12" operator="greaterThan">
      <formula>0</formula>
    </cfRule>
  </conditionalFormatting>
  <conditionalFormatting sqref="F17">
    <cfRule type="cellIs" dxfId="195" priority="11" operator="greaterThan">
      <formula>0</formula>
    </cfRule>
  </conditionalFormatting>
  <conditionalFormatting sqref="F18">
    <cfRule type="cellIs" dxfId="194" priority="10" operator="greaterThan">
      <formula>0</formula>
    </cfRule>
  </conditionalFormatting>
  <conditionalFormatting sqref="D19">
    <cfRule type="cellIs" dxfId="193" priority="9" operator="greaterThan">
      <formula>0</formula>
    </cfRule>
  </conditionalFormatting>
  <conditionalFormatting sqref="D17">
    <cfRule type="cellIs" dxfId="192" priority="8" operator="greaterThan">
      <formula>0</formula>
    </cfRule>
  </conditionalFormatting>
  <conditionalFormatting sqref="D18">
    <cfRule type="cellIs" dxfId="191" priority="7" operator="greaterThan">
      <formula>0</formula>
    </cfRule>
  </conditionalFormatting>
  <conditionalFormatting sqref="F20">
    <cfRule type="cellIs" dxfId="190" priority="6" operator="greaterThan">
      <formula>0</formula>
    </cfRule>
  </conditionalFormatting>
  <conditionalFormatting sqref="F21">
    <cfRule type="cellIs" dxfId="189" priority="5" operator="greaterThan">
      <formula>0</formula>
    </cfRule>
  </conditionalFormatting>
  <conditionalFormatting sqref="O21">
    <cfRule type="iconSet" priority="3">
      <iconSet showValue="0">
        <cfvo type="percent" val="0"/>
        <cfvo type="num" val="1"/>
        <cfvo type="num" val="2"/>
      </iconSet>
    </cfRule>
  </conditionalFormatting>
  <conditionalFormatting sqref="P21">
    <cfRule type="iconSet" priority="4">
      <iconSet iconSet="3Arrows" showValue="0">
        <cfvo type="percent" val="0"/>
        <cfvo type="num" val="1"/>
        <cfvo type="num" val="2"/>
      </iconSet>
    </cfRule>
  </conditionalFormatting>
  <conditionalFormatting sqref="E13:E15">
    <cfRule type="cellIs" dxfId="188" priority="2" operator="greaterThan">
      <formula>0</formula>
    </cfRule>
  </conditionalFormatting>
  <conditionalFormatting sqref="E12">
    <cfRule type="cellIs" dxfId="187" priority="1" operator="greaterThan">
      <formula>0</formula>
    </cfRule>
  </conditionalFormatting>
  <conditionalFormatting sqref="O14:O15">
    <cfRule type="iconSet" priority="327">
      <iconSet showValue="0">
        <cfvo type="percent" val="0"/>
        <cfvo type="num" val="1"/>
        <cfvo type="num" val="2"/>
      </iconSet>
    </cfRule>
  </conditionalFormatting>
  <conditionalFormatting sqref="P14:P15">
    <cfRule type="iconSet" priority="328">
      <iconSet iconSet="3Arrows" showValue="0">
        <cfvo type="percent" val="0"/>
        <cfvo type="num" val="1"/>
        <cfvo type="num" val="2"/>
      </iconSet>
    </cfRule>
  </conditionalFormatting>
  <conditionalFormatting sqref="P5 P8:P10">
    <cfRule type="iconSet" priority="333">
      <iconSet iconSet="3Arrows" showValue="0">
        <cfvo type="percent" val="0"/>
        <cfvo type="num" val="1"/>
        <cfvo type="num" val="2"/>
      </iconSet>
    </cfRule>
  </conditionalFormatting>
  <conditionalFormatting sqref="O5 O8:O10">
    <cfRule type="iconSet" priority="335">
      <iconSet showValue="0">
        <cfvo type="percent" val="0"/>
        <cfvo type="num" val="1"/>
        <cfvo type="num" val="2"/>
      </iconSet>
    </cfRule>
  </conditionalFormatting>
  <hyperlinks>
    <hyperlink ref="H6" location="Projektauftrag" display="Projektauftrag" xr:uid="{00000000-0004-0000-0300-000000000000}"/>
    <hyperlink ref="H8" location="Projektmanagementplan" display="Projektmanagementplan" xr:uid="{00000000-0004-0000-0300-000001000000}"/>
    <hyperlink ref="H9" location="Projektstruktruplan" display="Projektstruktruplan" xr:uid="{00000000-0004-0000-0300-000002000000}"/>
    <hyperlink ref="H10" location="Projektschlussbeurteilung" display="Projektschlussbeurteilung" xr:uid="{00000000-0004-0000-0300-000003000000}"/>
    <hyperlink ref="H14" location="Rechtsgrundlagenanalyse" display="Rechtsgrundlagenanalyse" xr:uid="{00000000-0004-0000-0300-000004000000}"/>
    <hyperlink ref="H17" location="Lastenheft" display="Lastenheft" xr:uid="{00000000-0004-0000-0300-000005000000}"/>
    <hyperlink ref="H18" location="Lastenheft" display="Lastenheft" xr:uid="{00000000-0004-0000-0300-000006000000}"/>
  </hyperlinks>
  <pageMargins left="0.70866141732283472" right="0.70866141732283472" top="0.74803149606299213" bottom="0.74803149606299213" header="0.31496062992125984" footer="0.31496062992125984"/>
  <pageSetup paperSize="8" scale="65" orientation="landscape" r:id="rId1"/>
  <customProperties>
    <customPr name="EpmWorksheetKeyString_GU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10"/>
  <sheetViews>
    <sheetView showGridLines="0" showRowColHeaders="0" workbookViewId="0">
      <selection activeCell="B2" sqref="B2"/>
    </sheetView>
  </sheetViews>
  <sheetFormatPr baseColWidth="10" defaultRowHeight="14.5" x14ac:dyDescent="0.35"/>
  <cols>
    <col min="1" max="1" width="18.453125" bestFit="1" customWidth="1"/>
    <col min="2" max="2" width="22.81640625" customWidth="1"/>
  </cols>
  <sheetData>
    <row r="1" spans="1:2" x14ac:dyDescent="0.35">
      <c r="A1" s="201" t="s">
        <v>135</v>
      </c>
      <c r="B1" s="202"/>
    </row>
    <row r="2" spans="1:2" x14ac:dyDescent="0.35">
      <c r="A2" s="114" t="s">
        <v>136</v>
      </c>
      <c r="B2" s="148" t="s">
        <v>180</v>
      </c>
    </row>
    <row r="3" spans="1:2" x14ac:dyDescent="0.35">
      <c r="A3" s="115" t="s">
        <v>137</v>
      </c>
      <c r="B3" s="149" t="s">
        <v>181</v>
      </c>
    </row>
    <row r="4" spans="1:2" x14ac:dyDescent="0.35">
      <c r="A4" s="115" t="s">
        <v>178</v>
      </c>
      <c r="B4" s="149" t="s">
        <v>180</v>
      </c>
    </row>
    <row r="5" spans="1:2" x14ac:dyDescent="0.35">
      <c r="A5" s="115" t="s">
        <v>172</v>
      </c>
      <c r="B5" s="149" t="s">
        <v>175</v>
      </c>
    </row>
    <row r="6" spans="1:2" x14ac:dyDescent="0.35">
      <c r="A6" s="115" t="s">
        <v>173</v>
      </c>
      <c r="B6" s="149" t="s">
        <v>176</v>
      </c>
    </row>
    <row r="7" spans="1:2" x14ac:dyDescent="0.35">
      <c r="A7" s="115" t="s">
        <v>174</v>
      </c>
      <c r="B7" s="149" t="s">
        <v>177</v>
      </c>
    </row>
    <row r="8" spans="1:2" x14ac:dyDescent="0.35">
      <c r="A8" s="115" t="s">
        <v>138</v>
      </c>
      <c r="B8" s="116" t="s">
        <v>133</v>
      </c>
    </row>
    <row r="9" spans="1:2" x14ac:dyDescent="0.35">
      <c r="A9" s="115" t="s">
        <v>139</v>
      </c>
      <c r="B9" s="149" t="s">
        <v>182</v>
      </c>
    </row>
    <row r="10" spans="1:2" x14ac:dyDescent="0.35">
      <c r="A10" s="117" t="s">
        <v>140</v>
      </c>
      <c r="B10" s="150" t="s">
        <v>182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1200" verticalDpi="1200" r:id="rId1"/>
  <customProperties>
    <customPr name="EpmWorksheetKeyString_GU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K63"/>
  <sheetViews>
    <sheetView showGridLines="0" showRowColHeaders="0" workbookViewId="0">
      <selection activeCell="G3" sqref="G3:H3"/>
    </sheetView>
  </sheetViews>
  <sheetFormatPr baseColWidth="10" defaultRowHeight="14.5" x14ac:dyDescent="0.35"/>
  <cols>
    <col min="1" max="1" width="22.1796875" bestFit="1" customWidth="1"/>
    <col min="2" max="2" width="17.26953125" customWidth="1"/>
    <col min="3" max="3" width="1.7265625" customWidth="1"/>
    <col min="4" max="4" width="22.1796875" customWidth="1"/>
    <col min="5" max="5" width="17.26953125" customWidth="1"/>
    <col min="6" max="6" width="1.7265625" customWidth="1"/>
    <col min="7" max="7" width="22.1796875" customWidth="1"/>
    <col min="8" max="8" width="17.26953125" customWidth="1"/>
    <col min="9" max="9" width="1.7265625" customWidth="1"/>
    <col min="10" max="10" width="22.1796875" customWidth="1"/>
    <col min="11" max="11" width="17.26953125" customWidth="1"/>
    <col min="12" max="12" width="3.7265625" customWidth="1"/>
    <col min="15" max="15" width="3.7265625" customWidth="1"/>
  </cols>
  <sheetData>
    <row r="1" spans="1:11" x14ac:dyDescent="0.35">
      <c r="A1" s="205" t="s">
        <v>146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</row>
    <row r="2" spans="1:11" ht="8.25" customHeight="1" x14ac:dyDescent="0.35">
      <c r="A2" s="106"/>
      <c r="B2" s="106"/>
      <c r="C2" s="106"/>
      <c r="D2" s="106"/>
      <c r="E2" s="106"/>
      <c r="F2" s="106"/>
      <c r="G2" s="106"/>
      <c r="H2" s="106"/>
      <c r="I2" s="106"/>
      <c r="J2" s="106"/>
      <c r="K2" s="106"/>
    </row>
    <row r="3" spans="1:11" x14ac:dyDescent="0.35">
      <c r="A3" s="203" t="s">
        <v>10</v>
      </c>
      <c r="B3" s="204"/>
      <c r="C3" s="158"/>
      <c r="D3" s="203" t="s">
        <v>12</v>
      </c>
      <c r="E3" s="204"/>
      <c r="F3" s="158"/>
      <c r="G3" s="203" t="s">
        <v>62</v>
      </c>
      <c r="H3" s="204"/>
      <c r="I3" s="158"/>
      <c r="J3" s="203" t="s">
        <v>13</v>
      </c>
      <c r="K3" s="204"/>
    </row>
    <row r="4" spans="1:11" x14ac:dyDescent="0.35">
      <c r="A4" s="161" t="s">
        <v>147</v>
      </c>
      <c r="B4" s="162"/>
      <c r="C4" s="158"/>
      <c r="D4" s="161" t="s">
        <v>147</v>
      </c>
      <c r="E4" s="162"/>
      <c r="F4" s="158"/>
      <c r="G4" s="152" t="s">
        <v>147</v>
      </c>
      <c r="H4" s="153"/>
      <c r="I4" s="158"/>
      <c r="J4" s="161" t="s">
        <v>147</v>
      </c>
      <c r="K4" s="162"/>
    </row>
    <row r="5" spans="1:11" x14ac:dyDescent="0.35">
      <c r="A5" s="152" t="s">
        <v>150</v>
      </c>
      <c r="B5" s="153"/>
      <c r="C5" s="158"/>
      <c r="D5" s="152" t="s">
        <v>150</v>
      </c>
      <c r="E5" s="153"/>
      <c r="F5" s="158"/>
      <c r="G5" s="152" t="s">
        <v>150</v>
      </c>
      <c r="H5" s="153"/>
      <c r="I5" s="158"/>
      <c r="J5" s="152" t="s">
        <v>150</v>
      </c>
      <c r="K5" s="153"/>
    </row>
    <row r="6" spans="1:11" x14ac:dyDescent="0.35">
      <c r="A6" s="152" t="s">
        <v>148</v>
      </c>
      <c r="B6" s="154" t="e">
        <f>IF('Projektstruktur- und Prüfplan'!#REF!="","",'Projektstruktur- und Prüfplan'!#REF!)</f>
        <v>#REF!</v>
      </c>
      <c r="C6" s="158"/>
      <c r="D6" s="152" t="s">
        <v>148</v>
      </c>
      <c r="E6" s="159"/>
      <c r="F6" s="158"/>
      <c r="G6" s="152" t="s">
        <v>148</v>
      </c>
      <c r="H6" s="159"/>
      <c r="I6" s="158"/>
      <c r="J6" s="152" t="s">
        <v>148</v>
      </c>
      <c r="K6" s="159"/>
    </row>
    <row r="7" spans="1:11" x14ac:dyDescent="0.35">
      <c r="A7" s="152" t="s">
        <v>149</v>
      </c>
      <c r="B7" s="154" t="str">
        <f ca="1">IF('Projektstruktur- und Prüfplan'!U5&lt;&gt;"","In Verzug",IF(AND('Projektstruktur- und Prüfplan'!S5="",'Projektstruktur- und Prüfplan'!R5=""),"","Ja"))</f>
        <v>Ja</v>
      </c>
      <c r="C7" s="158"/>
      <c r="D7" s="152" t="s">
        <v>149</v>
      </c>
      <c r="E7" s="153"/>
      <c r="F7" s="158"/>
      <c r="G7" s="152" t="s">
        <v>149</v>
      </c>
      <c r="H7" s="153"/>
      <c r="I7" s="158"/>
      <c r="J7" s="152" t="s">
        <v>149</v>
      </c>
      <c r="K7" s="153"/>
    </row>
    <row r="8" spans="1:11" x14ac:dyDescent="0.35">
      <c r="A8" s="163" t="s">
        <v>151</v>
      </c>
      <c r="B8" s="153"/>
      <c r="C8" s="158"/>
      <c r="D8" s="152"/>
      <c r="E8" s="159"/>
      <c r="F8" s="158"/>
      <c r="G8" s="152"/>
      <c r="H8" s="159"/>
      <c r="I8" s="158"/>
      <c r="J8" s="163" t="s">
        <v>160</v>
      </c>
      <c r="K8" s="153"/>
    </row>
    <row r="9" spans="1:11" x14ac:dyDescent="0.35">
      <c r="A9" s="164" t="s">
        <v>161</v>
      </c>
      <c r="B9" s="153"/>
      <c r="C9" s="158"/>
      <c r="D9" s="155" t="s">
        <v>159</v>
      </c>
      <c r="E9" s="160"/>
      <c r="F9" s="158"/>
      <c r="G9" s="155" t="s">
        <v>159</v>
      </c>
      <c r="H9" s="160"/>
      <c r="I9" s="158"/>
      <c r="J9" s="164" t="s">
        <v>161</v>
      </c>
      <c r="K9" s="153"/>
    </row>
    <row r="10" spans="1:11" x14ac:dyDescent="0.35">
      <c r="A10" s="155" t="s">
        <v>159</v>
      </c>
      <c r="B10" s="156" t="e">
        <f ca="1">IF(AND(B4="ja",B5="ja",B6&lt;&gt;"",B7&lt;&gt;"In Verzug",B7="ja",B8="ja"),"Ergebniss komplett",IF(AND(B4="",B5="",B6="",B7="",B8=""),"",IF(B7="In Verzug","In Verzug","Ausstehend")))</f>
        <v>#REF!</v>
      </c>
      <c r="C10" s="158"/>
      <c r="D10" s="158"/>
      <c r="E10" s="158"/>
      <c r="F10" s="158"/>
      <c r="G10" s="158"/>
      <c r="H10" s="158"/>
      <c r="I10" s="158"/>
      <c r="J10" s="155" t="s">
        <v>159</v>
      </c>
      <c r="K10" s="160"/>
    </row>
    <row r="11" spans="1:11" x14ac:dyDescent="0.35">
      <c r="A11" s="158"/>
      <c r="B11" s="158"/>
      <c r="C11" s="158"/>
      <c r="D11" s="158"/>
      <c r="E11" s="158"/>
      <c r="F11" s="158"/>
      <c r="G11" s="158"/>
      <c r="H11" s="158"/>
      <c r="I11" s="158"/>
      <c r="J11" s="158"/>
      <c r="K11" s="158"/>
    </row>
    <row r="12" spans="1:11" x14ac:dyDescent="0.35">
      <c r="A12" s="203" t="s">
        <v>154</v>
      </c>
      <c r="B12" s="204"/>
      <c r="C12" s="158"/>
      <c r="D12" s="203" t="s">
        <v>155</v>
      </c>
      <c r="E12" s="204"/>
      <c r="F12" s="158"/>
      <c r="G12" s="203" t="s">
        <v>141</v>
      </c>
      <c r="H12" s="204"/>
      <c r="I12" s="158"/>
      <c r="J12" s="203" t="s">
        <v>40</v>
      </c>
      <c r="K12" s="204"/>
    </row>
    <row r="13" spans="1:11" x14ac:dyDescent="0.35">
      <c r="A13" s="152" t="s">
        <v>147</v>
      </c>
      <c r="B13" s="153"/>
      <c r="C13" s="158"/>
      <c r="D13" s="152" t="s">
        <v>147</v>
      </c>
      <c r="E13" s="153"/>
      <c r="F13" s="158"/>
      <c r="G13" s="152" t="s">
        <v>147</v>
      </c>
      <c r="H13" s="153"/>
      <c r="I13" s="158"/>
      <c r="J13" s="152" t="s">
        <v>147</v>
      </c>
      <c r="K13" s="153"/>
    </row>
    <row r="14" spans="1:11" x14ac:dyDescent="0.35">
      <c r="A14" s="152" t="s">
        <v>150</v>
      </c>
      <c r="B14" s="153"/>
      <c r="C14" s="158"/>
      <c r="D14" s="152" t="s">
        <v>150</v>
      </c>
      <c r="E14" s="153"/>
      <c r="F14" s="158"/>
      <c r="G14" s="152" t="s">
        <v>150</v>
      </c>
      <c r="H14" s="153"/>
      <c r="I14" s="158"/>
      <c r="J14" s="152" t="s">
        <v>150</v>
      </c>
      <c r="K14" s="153"/>
    </row>
    <row r="15" spans="1:11" x14ac:dyDescent="0.35">
      <c r="A15" s="152" t="s">
        <v>148</v>
      </c>
      <c r="B15" s="159"/>
      <c r="C15" s="158"/>
      <c r="D15" s="152" t="s">
        <v>148</v>
      </c>
      <c r="E15" s="159"/>
      <c r="F15" s="158"/>
      <c r="G15" s="152" t="s">
        <v>148</v>
      </c>
      <c r="H15" s="159"/>
      <c r="I15" s="158"/>
      <c r="J15" s="152" t="s">
        <v>148</v>
      </c>
      <c r="K15" s="159"/>
    </row>
    <row r="16" spans="1:11" x14ac:dyDescent="0.35">
      <c r="A16" s="152" t="s">
        <v>149</v>
      </c>
      <c r="B16" s="153"/>
      <c r="C16" s="158"/>
      <c r="D16" s="152" t="s">
        <v>149</v>
      </c>
      <c r="E16" s="153"/>
      <c r="F16" s="158"/>
      <c r="G16" s="152" t="s">
        <v>149</v>
      </c>
      <c r="H16" s="153"/>
      <c r="I16" s="158"/>
      <c r="J16" s="152" t="s">
        <v>149</v>
      </c>
      <c r="K16" s="153"/>
    </row>
    <row r="17" spans="1:11" x14ac:dyDescent="0.35">
      <c r="A17" s="164" t="s">
        <v>161</v>
      </c>
      <c r="B17" s="153"/>
      <c r="C17" s="158"/>
      <c r="D17" s="164" t="s">
        <v>161</v>
      </c>
      <c r="E17" s="153"/>
      <c r="F17" s="158"/>
      <c r="G17" s="152"/>
      <c r="H17" s="153"/>
      <c r="I17" s="158"/>
      <c r="J17" s="164" t="s">
        <v>162</v>
      </c>
      <c r="K17" s="159"/>
    </row>
    <row r="18" spans="1:11" x14ac:dyDescent="0.35">
      <c r="A18" s="155" t="s">
        <v>159</v>
      </c>
      <c r="B18" s="160"/>
      <c r="C18" s="158"/>
      <c r="D18" s="155" t="s">
        <v>159</v>
      </c>
      <c r="E18" s="160"/>
      <c r="F18" s="158"/>
      <c r="G18" s="155" t="s">
        <v>159</v>
      </c>
      <c r="H18" s="160"/>
      <c r="I18" s="158"/>
      <c r="J18" s="155" t="s">
        <v>159</v>
      </c>
      <c r="K18" s="160"/>
    </row>
    <row r="19" spans="1:11" x14ac:dyDescent="0.35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</row>
    <row r="20" spans="1:11" x14ac:dyDescent="0.35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</row>
    <row r="21" spans="1:11" x14ac:dyDescent="0.35">
      <c r="A21" s="203" t="s">
        <v>14</v>
      </c>
      <c r="B21" s="204"/>
      <c r="C21" s="158"/>
      <c r="D21" s="203" t="s">
        <v>15</v>
      </c>
      <c r="E21" s="204"/>
      <c r="F21" s="158"/>
      <c r="G21" s="203" t="s">
        <v>158</v>
      </c>
      <c r="H21" s="204"/>
      <c r="I21" s="158"/>
      <c r="J21" s="203" t="s">
        <v>16</v>
      </c>
      <c r="K21" s="204"/>
    </row>
    <row r="22" spans="1:11" x14ac:dyDescent="0.35">
      <c r="A22" s="152" t="s">
        <v>147</v>
      </c>
      <c r="B22" s="153"/>
      <c r="C22" s="158"/>
      <c r="D22" s="152" t="s">
        <v>147</v>
      </c>
      <c r="E22" s="153"/>
      <c r="F22" s="158"/>
      <c r="G22" s="152" t="s">
        <v>147</v>
      </c>
      <c r="H22" s="153"/>
      <c r="I22" s="158"/>
      <c r="J22" s="152" t="s">
        <v>147</v>
      </c>
      <c r="K22" s="153"/>
    </row>
    <row r="23" spans="1:11" x14ac:dyDescent="0.35">
      <c r="A23" s="152" t="s">
        <v>150</v>
      </c>
      <c r="B23" s="153"/>
      <c r="C23" s="158"/>
      <c r="D23" s="152" t="s">
        <v>150</v>
      </c>
      <c r="E23" s="153"/>
      <c r="F23" s="158"/>
      <c r="G23" s="152" t="s">
        <v>150</v>
      </c>
      <c r="H23" s="153"/>
      <c r="I23" s="158"/>
      <c r="J23" s="152" t="s">
        <v>150</v>
      </c>
      <c r="K23" s="153"/>
    </row>
    <row r="24" spans="1:11" x14ac:dyDescent="0.35">
      <c r="A24" s="152" t="s">
        <v>148</v>
      </c>
      <c r="B24" s="159"/>
      <c r="C24" s="158"/>
      <c r="D24" s="152" t="s">
        <v>148</v>
      </c>
      <c r="E24" s="159"/>
      <c r="F24" s="158"/>
      <c r="G24" s="152" t="s">
        <v>148</v>
      </c>
      <c r="H24" s="159"/>
      <c r="I24" s="158"/>
      <c r="J24" s="152" t="s">
        <v>148</v>
      </c>
      <c r="K24" s="159"/>
    </row>
    <row r="25" spans="1:11" x14ac:dyDescent="0.35">
      <c r="A25" s="152" t="s">
        <v>149</v>
      </c>
      <c r="B25" s="153"/>
      <c r="C25" s="158"/>
      <c r="D25" s="152" t="s">
        <v>149</v>
      </c>
      <c r="E25" s="153"/>
      <c r="F25" s="158"/>
      <c r="G25" s="152" t="s">
        <v>149</v>
      </c>
      <c r="H25" s="153"/>
      <c r="I25" s="158"/>
      <c r="J25" s="152" t="s">
        <v>149</v>
      </c>
      <c r="K25" s="153"/>
    </row>
    <row r="26" spans="1:11" x14ac:dyDescent="0.35">
      <c r="A26" s="164" t="s">
        <v>163</v>
      </c>
      <c r="B26" s="159"/>
      <c r="C26" s="158"/>
      <c r="D26" s="164" t="s">
        <v>164</v>
      </c>
      <c r="E26" s="153"/>
      <c r="F26" s="158"/>
      <c r="G26" s="164" t="s">
        <v>165</v>
      </c>
      <c r="H26" s="153"/>
      <c r="I26" s="158"/>
      <c r="J26" s="152"/>
      <c r="K26" s="159"/>
    </row>
    <row r="27" spans="1:11" x14ac:dyDescent="0.35">
      <c r="A27" s="155" t="s">
        <v>159</v>
      </c>
      <c r="B27" s="160"/>
      <c r="C27" s="158"/>
      <c r="D27" s="155" t="s">
        <v>159</v>
      </c>
      <c r="E27" s="160"/>
      <c r="F27" s="158"/>
      <c r="G27" s="155" t="s">
        <v>159</v>
      </c>
      <c r="H27" s="160"/>
      <c r="I27" s="158"/>
      <c r="J27" s="155" t="s">
        <v>159</v>
      </c>
      <c r="K27" s="160"/>
    </row>
    <row r="28" spans="1:11" x14ac:dyDescent="0.35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</row>
    <row r="29" spans="1:11" x14ac:dyDescent="0.35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</row>
    <row r="30" spans="1:11" x14ac:dyDescent="0.35">
      <c r="A30" s="203" t="s">
        <v>157</v>
      </c>
      <c r="B30" s="204"/>
      <c r="C30" s="158"/>
      <c r="D30" s="203" t="s">
        <v>17</v>
      </c>
      <c r="E30" s="204"/>
      <c r="F30" s="158"/>
      <c r="G30" s="203" t="s">
        <v>18</v>
      </c>
      <c r="H30" s="204"/>
      <c r="I30" s="158"/>
      <c r="J30" s="203" t="s">
        <v>19</v>
      </c>
      <c r="K30" s="204"/>
    </row>
    <row r="31" spans="1:11" x14ac:dyDescent="0.35">
      <c r="A31" s="152" t="s">
        <v>147</v>
      </c>
      <c r="B31" s="153"/>
      <c r="C31" s="158"/>
      <c r="D31" s="152" t="s">
        <v>147</v>
      </c>
      <c r="E31" s="153"/>
      <c r="F31" s="158"/>
      <c r="G31" s="152" t="s">
        <v>147</v>
      </c>
      <c r="H31" s="153"/>
      <c r="I31" s="158"/>
      <c r="J31" s="152" t="s">
        <v>147</v>
      </c>
      <c r="K31" s="153"/>
    </row>
    <row r="32" spans="1:11" x14ac:dyDescent="0.35">
      <c r="A32" s="152" t="s">
        <v>150</v>
      </c>
      <c r="B32" s="153"/>
      <c r="C32" s="158"/>
      <c r="D32" s="152" t="s">
        <v>150</v>
      </c>
      <c r="E32" s="153"/>
      <c r="F32" s="158"/>
      <c r="G32" s="152" t="s">
        <v>150</v>
      </c>
      <c r="H32" s="153"/>
      <c r="I32" s="158"/>
      <c r="J32" s="152" t="s">
        <v>150</v>
      </c>
      <c r="K32" s="153"/>
    </row>
    <row r="33" spans="1:11" x14ac:dyDescent="0.35">
      <c r="A33" s="152" t="s">
        <v>148</v>
      </c>
      <c r="B33" s="159"/>
      <c r="C33" s="158"/>
      <c r="D33" s="152" t="s">
        <v>148</v>
      </c>
      <c r="E33" s="159"/>
      <c r="F33" s="158"/>
      <c r="G33" s="152" t="s">
        <v>148</v>
      </c>
      <c r="H33" s="159"/>
      <c r="I33" s="158"/>
      <c r="J33" s="152" t="s">
        <v>148</v>
      </c>
      <c r="K33" s="159"/>
    </row>
    <row r="34" spans="1:11" x14ac:dyDescent="0.35">
      <c r="A34" s="152" t="s">
        <v>149</v>
      </c>
      <c r="B34" s="153"/>
      <c r="C34" s="158"/>
      <c r="D34" s="152" t="s">
        <v>149</v>
      </c>
      <c r="E34" s="153"/>
      <c r="F34" s="158"/>
      <c r="G34" s="152" t="s">
        <v>149</v>
      </c>
      <c r="H34" s="153"/>
      <c r="I34" s="158"/>
      <c r="J34" s="152" t="s">
        <v>149</v>
      </c>
      <c r="K34" s="153"/>
    </row>
    <row r="35" spans="1:11" x14ac:dyDescent="0.35">
      <c r="A35" s="164" t="s">
        <v>164</v>
      </c>
      <c r="B35" s="153"/>
      <c r="C35" s="158"/>
      <c r="D35" s="157" t="s">
        <v>166</v>
      </c>
      <c r="E35" s="159"/>
      <c r="F35" s="158"/>
      <c r="G35" s="152"/>
      <c r="H35" s="159"/>
      <c r="I35" s="158"/>
      <c r="J35" s="152"/>
      <c r="K35" s="159"/>
    </row>
    <row r="36" spans="1:11" x14ac:dyDescent="0.35">
      <c r="A36" s="155" t="s">
        <v>159</v>
      </c>
      <c r="B36" s="160"/>
      <c r="C36" s="158"/>
      <c r="D36" s="155" t="s">
        <v>159</v>
      </c>
      <c r="E36" s="160"/>
      <c r="F36" s="158"/>
      <c r="G36" s="155" t="s">
        <v>159</v>
      </c>
      <c r="H36" s="160"/>
      <c r="I36" s="158"/>
      <c r="J36" s="155" t="s">
        <v>159</v>
      </c>
      <c r="K36" s="160"/>
    </row>
    <row r="37" spans="1:11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</row>
    <row r="38" spans="1:11" x14ac:dyDescent="0.35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</row>
    <row r="39" spans="1:11" x14ac:dyDescent="0.35">
      <c r="A39" s="203" t="s">
        <v>20</v>
      </c>
      <c r="B39" s="204"/>
      <c r="C39" s="158"/>
      <c r="D39" s="203" t="s">
        <v>21</v>
      </c>
      <c r="E39" s="204"/>
      <c r="F39" s="158"/>
      <c r="G39" s="203" t="s">
        <v>156</v>
      </c>
      <c r="H39" s="204"/>
      <c r="I39" s="158"/>
      <c r="J39" s="203" t="s">
        <v>22</v>
      </c>
      <c r="K39" s="204"/>
    </row>
    <row r="40" spans="1:11" x14ac:dyDescent="0.35">
      <c r="A40" s="152" t="s">
        <v>147</v>
      </c>
      <c r="B40" s="153"/>
      <c r="C40" s="158"/>
      <c r="D40" s="152" t="s">
        <v>147</v>
      </c>
      <c r="E40" s="153"/>
      <c r="F40" s="158"/>
      <c r="G40" s="152" t="s">
        <v>147</v>
      </c>
      <c r="H40" s="153"/>
      <c r="I40" s="158"/>
      <c r="J40" s="152" t="s">
        <v>147</v>
      </c>
      <c r="K40" s="153"/>
    </row>
    <row r="41" spans="1:11" x14ac:dyDescent="0.35">
      <c r="A41" s="152" t="s">
        <v>150</v>
      </c>
      <c r="B41" s="153"/>
      <c r="C41" s="158"/>
      <c r="D41" s="152" t="s">
        <v>150</v>
      </c>
      <c r="E41" s="153"/>
      <c r="F41" s="158"/>
      <c r="G41" s="152" t="s">
        <v>150</v>
      </c>
      <c r="H41" s="153"/>
      <c r="I41" s="158"/>
      <c r="J41" s="152" t="s">
        <v>150</v>
      </c>
      <c r="K41" s="153"/>
    </row>
    <row r="42" spans="1:11" x14ac:dyDescent="0.35">
      <c r="A42" s="152" t="s">
        <v>148</v>
      </c>
      <c r="B42" s="159"/>
      <c r="C42" s="158"/>
      <c r="D42" s="152" t="s">
        <v>148</v>
      </c>
      <c r="E42" s="159"/>
      <c r="F42" s="158"/>
      <c r="G42" s="152" t="s">
        <v>148</v>
      </c>
      <c r="H42" s="159"/>
      <c r="I42" s="158"/>
      <c r="J42" s="152" t="s">
        <v>148</v>
      </c>
      <c r="K42" s="159"/>
    </row>
    <row r="43" spans="1:11" x14ac:dyDescent="0.35">
      <c r="A43" s="152" t="s">
        <v>149</v>
      </c>
      <c r="B43" s="153"/>
      <c r="C43" s="158"/>
      <c r="D43" s="152" t="s">
        <v>149</v>
      </c>
      <c r="E43" s="153"/>
      <c r="F43" s="158"/>
      <c r="G43" s="152" t="s">
        <v>149</v>
      </c>
      <c r="H43" s="153"/>
      <c r="I43" s="158"/>
      <c r="J43" s="152" t="s">
        <v>149</v>
      </c>
      <c r="K43" s="153"/>
    </row>
    <row r="44" spans="1:11" x14ac:dyDescent="0.35">
      <c r="A44" s="164" t="s">
        <v>163</v>
      </c>
      <c r="B44" s="159"/>
      <c r="C44" s="158"/>
      <c r="D44" s="152"/>
      <c r="E44" s="159"/>
      <c r="F44" s="158"/>
      <c r="G44" s="164" t="s">
        <v>167</v>
      </c>
      <c r="H44" s="159"/>
      <c r="I44" s="158"/>
      <c r="J44" s="157" t="s">
        <v>168</v>
      </c>
      <c r="K44" s="159"/>
    </row>
    <row r="45" spans="1:11" x14ac:dyDescent="0.35">
      <c r="A45" s="155" t="s">
        <v>159</v>
      </c>
      <c r="B45" s="160"/>
      <c r="C45" s="158"/>
      <c r="D45" s="155" t="s">
        <v>159</v>
      </c>
      <c r="E45" s="160"/>
      <c r="F45" s="158"/>
      <c r="G45" s="155" t="s">
        <v>159</v>
      </c>
      <c r="H45" s="160"/>
      <c r="I45" s="158"/>
      <c r="J45" s="155" t="s">
        <v>159</v>
      </c>
      <c r="K45" s="160"/>
    </row>
    <row r="46" spans="1:11" x14ac:dyDescent="0.35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</row>
    <row r="47" spans="1:11" x14ac:dyDescent="0.35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</row>
    <row r="48" spans="1:11" x14ac:dyDescent="0.35">
      <c r="A48" s="203" t="s">
        <v>23</v>
      </c>
      <c r="B48" s="204"/>
      <c r="C48" s="158"/>
      <c r="D48" s="203" t="s">
        <v>24</v>
      </c>
      <c r="E48" s="204"/>
      <c r="F48" s="158"/>
      <c r="G48" s="203" t="s">
        <v>25</v>
      </c>
      <c r="H48" s="204"/>
      <c r="I48" s="158"/>
      <c r="J48" s="203" t="s">
        <v>26</v>
      </c>
      <c r="K48" s="204"/>
    </row>
    <row r="49" spans="1:11" x14ac:dyDescent="0.35">
      <c r="A49" s="152" t="s">
        <v>147</v>
      </c>
      <c r="B49" s="153"/>
      <c r="C49" s="158"/>
      <c r="D49" s="152" t="s">
        <v>147</v>
      </c>
      <c r="E49" s="153"/>
      <c r="F49" s="158"/>
      <c r="G49" s="152" t="s">
        <v>147</v>
      </c>
      <c r="H49" s="153"/>
      <c r="I49" s="158"/>
      <c r="J49" s="152" t="s">
        <v>147</v>
      </c>
      <c r="K49" s="153"/>
    </row>
    <row r="50" spans="1:11" x14ac:dyDescent="0.35">
      <c r="A50" s="152" t="s">
        <v>150</v>
      </c>
      <c r="B50" s="153"/>
      <c r="C50" s="158"/>
      <c r="D50" s="152" t="s">
        <v>150</v>
      </c>
      <c r="E50" s="153"/>
      <c r="F50" s="158"/>
      <c r="G50" s="152" t="s">
        <v>150</v>
      </c>
      <c r="H50" s="153"/>
      <c r="I50" s="158"/>
      <c r="J50" s="152" t="s">
        <v>150</v>
      </c>
      <c r="K50" s="153"/>
    </row>
    <row r="51" spans="1:11" x14ac:dyDescent="0.35">
      <c r="A51" s="152" t="s">
        <v>148</v>
      </c>
      <c r="B51" s="159"/>
      <c r="C51" s="158"/>
      <c r="D51" s="152" t="s">
        <v>148</v>
      </c>
      <c r="E51" s="159"/>
      <c r="F51" s="158"/>
      <c r="G51" s="152" t="s">
        <v>148</v>
      </c>
      <c r="H51" s="159"/>
      <c r="I51" s="158"/>
      <c r="J51" s="152" t="s">
        <v>148</v>
      </c>
      <c r="K51" s="159"/>
    </row>
    <row r="52" spans="1:11" x14ac:dyDescent="0.35">
      <c r="A52" s="152" t="s">
        <v>149</v>
      </c>
      <c r="B52" s="153"/>
      <c r="C52" s="158"/>
      <c r="D52" s="152" t="s">
        <v>149</v>
      </c>
      <c r="E52" s="153"/>
      <c r="F52" s="158"/>
      <c r="G52" s="152" t="s">
        <v>149</v>
      </c>
      <c r="H52" s="153"/>
      <c r="I52" s="158"/>
      <c r="J52" s="152" t="s">
        <v>149</v>
      </c>
      <c r="K52" s="153"/>
    </row>
    <row r="53" spans="1:11" x14ac:dyDescent="0.35">
      <c r="A53" s="152"/>
      <c r="B53" s="159"/>
      <c r="C53" s="158"/>
      <c r="D53" s="164" t="s">
        <v>169</v>
      </c>
      <c r="E53" s="159"/>
      <c r="F53" s="158"/>
      <c r="G53" s="152"/>
      <c r="H53" s="159"/>
      <c r="I53" s="158"/>
      <c r="J53" s="164" t="s">
        <v>163</v>
      </c>
      <c r="K53" s="159"/>
    </row>
    <row r="54" spans="1:11" x14ac:dyDescent="0.35">
      <c r="A54" s="155" t="s">
        <v>159</v>
      </c>
      <c r="B54" s="160"/>
      <c r="C54" s="158"/>
      <c r="D54" s="155" t="s">
        <v>159</v>
      </c>
      <c r="E54" s="160"/>
      <c r="F54" s="158"/>
      <c r="G54" s="155" t="s">
        <v>159</v>
      </c>
      <c r="H54" s="160"/>
      <c r="I54" s="158"/>
      <c r="J54" s="155" t="s">
        <v>159</v>
      </c>
      <c r="K54" s="160"/>
    </row>
    <row r="55" spans="1:11" x14ac:dyDescent="0.35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</row>
    <row r="56" spans="1:11" x14ac:dyDescent="0.35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</row>
    <row r="57" spans="1:11" x14ac:dyDescent="0.35">
      <c r="A57" s="203" t="s">
        <v>27</v>
      </c>
      <c r="B57" s="204"/>
      <c r="C57" s="158"/>
      <c r="D57" s="203" t="s">
        <v>82</v>
      </c>
      <c r="E57" s="204"/>
      <c r="F57" s="158"/>
      <c r="G57" s="203" t="s">
        <v>29</v>
      </c>
      <c r="H57" s="204"/>
      <c r="I57" s="158"/>
      <c r="J57" s="158"/>
      <c r="K57" s="158"/>
    </row>
    <row r="58" spans="1:11" x14ac:dyDescent="0.35">
      <c r="A58" s="152" t="s">
        <v>147</v>
      </c>
      <c r="B58" s="153"/>
      <c r="C58" s="158"/>
      <c r="D58" s="152" t="s">
        <v>147</v>
      </c>
      <c r="E58" s="153"/>
      <c r="F58" s="158"/>
      <c r="G58" s="152" t="s">
        <v>147</v>
      </c>
      <c r="H58" s="153"/>
      <c r="I58" s="158"/>
      <c r="J58" s="158"/>
      <c r="K58" s="158"/>
    </row>
    <row r="59" spans="1:11" x14ac:dyDescent="0.35">
      <c r="A59" s="152" t="s">
        <v>150</v>
      </c>
      <c r="B59" s="153"/>
      <c r="C59" s="158"/>
      <c r="D59" s="152" t="s">
        <v>150</v>
      </c>
      <c r="E59" s="153"/>
      <c r="F59" s="158"/>
      <c r="G59" s="152" t="s">
        <v>150</v>
      </c>
      <c r="H59" s="153"/>
      <c r="I59" s="158"/>
      <c r="J59" s="158"/>
      <c r="K59" s="158"/>
    </row>
    <row r="60" spans="1:11" x14ac:dyDescent="0.35">
      <c r="A60" s="152" t="s">
        <v>148</v>
      </c>
      <c r="B60" s="159"/>
      <c r="C60" s="158"/>
      <c r="D60" s="152" t="s">
        <v>148</v>
      </c>
      <c r="E60" s="159"/>
      <c r="F60" s="158"/>
      <c r="G60" s="152" t="s">
        <v>148</v>
      </c>
      <c r="H60" s="159"/>
      <c r="I60" s="158"/>
      <c r="J60" s="158"/>
      <c r="K60" s="158"/>
    </row>
    <row r="61" spans="1:11" x14ac:dyDescent="0.35">
      <c r="A61" s="152" t="s">
        <v>149</v>
      </c>
      <c r="B61" s="159"/>
      <c r="C61" s="158"/>
      <c r="D61" s="152" t="s">
        <v>149</v>
      </c>
      <c r="E61" s="159"/>
      <c r="F61" s="158"/>
      <c r="G61" s="152" t="s">
        <v>149</v>
      </c>
      <c r="H61" s="159"/>
      <c r="I61" s="158"/>
      <c r="J61" s="158"/>
      <c r="K61" s="158"/>
    </row>
    <row r="62" spans="1:11" x14ac:dyDescent="0.35">
      <c r="A62" s="152"/>
      <c r="B62" s="159"/>
      <c r="C62" s="158"/>
      <c r="D62" s="152"/>
      <c r="E62" s="159"/>
      <c r="F62" s="158"/>
      <c r="G62" s="164" t="s">
        <v>165</v>
      </c>
      <c r="H62" s="159"/>
      <c r="I62" s="158"/>
      <c r="J62" s="158"/>
      <c r="K62" s="158"/>
    </row>
    <row r="63" spans="1:11" x14ac:dyDescent="0.35">
      <c r="A63" s="155" t="s">
        <v>159</v>
      </c>
      <c r="B63" s="160"/>
      <c r="C63" s="158"/>
      <c r="D63" s="155" t="s">
        <v>159</v>
      </c>
      <c r="E63" s="160"/>
      <c r="F63" s="158"/>
      <c r="G63" s="155" t="s">
        <v>159</v>
      </c>
      <c r="H63" s="160"/>
      <c r="I63" s="158"/>
      <c r="J63" s="158"/>
      <c r="K63" s="158"/>
    </row>
  </sheetData>
  <sheetProtection selectLockedCells="1"/>
  <mergeCells count="28">
    <mergeCell ref="A3:B3"/>
    <mergeCell ref="D3:E3"/>
    <mergeCell ref="G3:H3"/>
    <mergeCell ref="J3:K3"/>
    <mergeCell ref="A30:B30"/>
    <mergeCell ref="D30:E30"/>
    <mergeCell ref="G30:H30"/>
    <mergeCell ref="J30:K30"/>
    <mergeCell ref="A12:B12"/>
    <mergeCell ref="D12:E12"/>
    <mergeCell ref="G12:H12"/>
    <mergeCell ref="J12:K12"/>
    <mergeCell ref="A57:B57"/>
    <mergeCell ref="D57:E57"/>
    <mergeCell ref="G57:H57"/>
    <mergeCell ref="A1:K1"/>
    <mergeCell ref="A39:B39"/>
    <mergeCell ref="D39:E39"/>
    <mergeCell ref="G39:H39"/>
    <mergeCell ref="J39:K39"/>
    <mergeCell ref="A48:B48"/>
    <mergeCell ref="D48:E48"/>
    <mergeCell ref="G48:H48"/>
    <mergeCell ref="J48:K48"/>
    <mergeCell ref="A21:B21"/>
    <mergeCell ref="D21:E21"/>
    <mergeCell ref="G21:H21"/>
    <mergeCell ref="J21:K21"/>
  </mergeCells>
  <conditionalFormatting sqref="B7">
    <cfRule type="containsText" dxfId="186" priority="187" operator="containsText" text="Verzug">
      <formula>NOT(ISERROR(SEARCH("Verzug",B7)))</formula>
    </cfRule>
    <cfRule type="cellIs" dxfId="185" priority="188" operator="equal">
      <formula>"Ja"</formula>
    </cfRule>
  </conditionalFormatting>
  <conditionalFormatting sqref="B4:B5">
    <cfRule type="containsText" dxfId="184" priority="185" operator="containsText" text="Verzug">
      <formula>NOT(ISERROR(SEARCH("Verzug",B4)))</formula>
    </cfRule>
    <cfRule type="cellIs" dxfId="183" priority="186" operator="equal">
      <formula>"Ja"</formula>
    </cfRule>
  </conditionalFormatting>
  <conditionalFormatting sqref="B8">
    <cfRule type="containsText" dxfId="182" priority="183" operator="containsText" text="Verzug">
      <formula>NOT(ISERROR(SEARCH("Verzug",B8)))</formula>
    </cfRule>
    <cfRule type="cellIs" dxfId="181" priority="184" operator="equal">
      <formula>"Ja"</formula>
    </cfRule>
  </conditionalFormatting>
  <conditionalFormatting sqref="B10">
    <cfRule type="cellIs" dxfId="180" priority="179" operator="equal">
      <formula>"In Verzug"</formula>
    </cfRule>
    <cfRule type="cellIs" dxfId="179" priority="180" operator="equal">
      <formula>"Ausstehend"</formula>
    </cfRule>
    <cfRule type="cellIs" dxfId="178" priority="182" operator="equal">
      <formula>"Ergebniss komplett"</formula>
    </cfRule>
  </conditionalFormatting>
  <conditionalFormatting sqref="B6">
    <cfRule type="cellIs" dxfId="177" priority="181" operator="notEqual">
      <formula>""""""</formula>
    </cfRule>
  </conditionalFormatting>
  <conditionalFormatting sqref="B4:B5 B8">
    <cfRule type="cellIs" dxfId="176" priority="178" operator="equal">
      <formula>"Nein"</formula>
    </cfRule>
  </conditionalFormatting>
  <conditionalFormatting sqref="E4:E5">
    <cfRule type="containsText" dxfId="175" priority="175" operator="containsText" text="Verzug">
      <formula>NOT(ISERROR(SEARCH("Verzug",E4)))</formula>
    </cfRule>
    <cfRule type="cellIs" dxfId="174" priority="176" operator="equal">
      <formula>"Ja"</formula>
    </cfRule>
  </conditionalFormatting>
  <conditionalFormatting sqref="E4:E5">
    <cfRule type="cellIs" dxfId="173" priority="174" operator="equal">
      <formula>"Nein"</formula>
    </cfRule>
  </conditionalFormatting>
  <conditionalFormatting sqref="H4:H5">
    <cfRule type="containsText" dxfId="172" priority="172" operator="containsText" text="Verzug">
      <formula>NOT(ISERROR(SEARCH("Verzug",H4)))</formula>
    </cfRule>
    <cfRule type="cellIs" dxfId="171" priority="173" operator="equal">
      <formula>"Ja"</formula>
    </cfRule>
  </conditionalFormatting>
  <conditionalFormatting sqref="H4:H5">
    <cfRule type="cellIs" dxfId="170" priority="171" operator="equal">
      <formula>"Nein"</formula>
    </cfRule>
  </conditionalFormatting>
  <conditionalFormatting sqref="K4:K5">
    <cfRule type="containsText" dxfId="169" priority="169" operator="containsText" text="Verzug">
      <formula>NOT(ISERROR(SEARCH("Verzug",K4)))</formula>
    </cfRule>
    <cfRule type="cellIs" dxfId="168" priority="170" operator="equal">
      <formula>"Ja"</formula>
    </cfRule>
  </conditionalFormatting>
  <conditionalFormatting sqref="K4:K5">
    <cfRule type="cellIs" dxfId="167" priority="168" operator="equal">
      <formula>"Nein"</formula>
    </cfRule>
  </conditionalFormatting>
  <conditionalFormatting sqref="B13:B14">
    <cfRule type="containsText" dxfId="166" priority="166" operator="containsText" text="Verzug">
      <formula>NOT(ISERROR(SEARCH("Verzug",B13)))</formula>
    </cfRule>
    <cfRule type="cellIs" dxfId="165" priority="167" operator="equal">
      <formula>"Ja"</formula>
    </cfRule>
  </conditionalFormatting>
  <conditionalFormatting sqref="B13:B14">
    <cfRule type="cellIs" dxfId="164" priority="165" operator="equal">
      <formula>"Nein"</formula>
    </cfRule>
  </conditionalFormatting>
  <conditionalFormatting sqref="E13:E14">
    <cfRule type="containsText" dxfId="163" priority="163" operator="containsText" text="Verzug">
      <formula>NOT(ISERROR(SEARCH("Verzug",E13)))</formula>
    </cfRule>
    <cfRule type="cellIs" dxfId="162" priority="164" operator="equal">
      <formula>"Ja"</formula>
    </cfRule>
  </conditionalFormatting>
  <conditionalFormatting sqref="E13:E14">
    <cfRule type="cellIs" dxfId="161" priority="162" operator="equal">
      <formula>"Nein"</formula>
    </cfRule>
  </conditionalFormatting>
  <conditionalFormatting sqref="H13:H14">
    <cfRule type="containsText" dxfId="160" priority="160" operator="containsText" text="Verzug">
      <formula>NOT(ISERROR(SEARCH("Verzug",H13)))</formula>
    </cfRule>
    <cfRule type="cellIs" dxfId="159" priority="161" operator="equal">
      <formula>"Ja"</formula>
    </cfRule>
  </conditionalFormatting>
  <conditionalFormatting sqref="H13:H14">
    <cfRule type="cellIs" dxfId="158" priority="159" operator="equal">
      <formula>"Nein"</formula>
    </cfRule>
  </conditionalFormatting>
  <conditionalFormatting sqref="K13:K14">
    <cfRule type="containsText" dxfId="157" priority="157" operator="containsText" text="Verzug">
      <formula>NOT(ISERROR(SEARCH("Verzug",K13)))</formula>
    </cfRule>
    <cfRule type="cellIs" dxfId="156" priority="158" operator="equal">
      <formula>"Ja"</formula>
    </cfRule>
  </conditionalFormatting>
  <conditionalFormatting sqref="K13:K14">
    <cfRule type="cellIs" dxfId="155" priority="156" operator="equal">
      <formula>"Nein"</formula>
    </cfRule>
  </conditionalFormatting>
  <conditionalFormatting sqref="B22:B23">
    <cfRule type="containsText" dxfId="154" priority="154" operator="containsText" text="Verzug">
      <formula>NOT(ISERROR(SEARCH("Verzug",B22)))</formula>
    </cfRule>
    <cfRule type="cellIs" dxfId="153" priority="155" operator="equal">
      <formula>"Ja"</formula>
    </cfRule>
  </conditionalFormatting>
  <conditionalFormatting sqref="B22:B23">
    <cfRule type="cellIs" dxfId="152" priority="153" operator="equal">
      <formula>"Nein"</formula>
    </cfRule>
  </conditionalFormatting>
  <conditionalFormatting sqref="E22:E23">
    <cfRule type="containsText" dxfId="151" priority="151" operator="containsText" text="Verzug">
      <formula>NOT(ISERROR(SEARCH("Verzug",E22)))</formula>
    </cfRule>
    <cfRule type="cellIs" dxfId="150" priority="152" operator="equal">
      <formula>"Ja"</formula>
    </cfRule>
  </conditionalFormatting>
  <conditionalFormatting sqref="E22:E23">
    <cfRule type="cellIs" dxfId="149" priority="150" operator="equal">
      <formula>"Nein"</formula>
    </cfRule>
  </conditionalFormatting>
  <conditionalFormatting sqref="H22:H23">
    <cfRule type="containsText" dxfId="148" priority="148" operator="containsText" text="Verzug">
      <formula>NOT(ISERROR(SEARCH("Verzug",H22)))</formula>
    </cfRule>
    <cfRule type="cellIs" dxfId="147" priority="149" operator="equal">
      <formula>"Ja"</formula>
    </cfRule>
  </conditionalFormatting>
  <conditionalFormatting sqref="H22:H23">
    <cfRule type="cellIs" dxfId="146" priority="147" operator="equal">
      <formula>"Nein"</formula>
    </cfRule>
  </conditionalFormatting>
  <conditionalFormatting sqref="K22:K23">
    <cfRule type="containsText" dxfId="145" priority="145" operator="containsText" text="Verzug">
      <formula>NOT(ISERROR(SEARCH("Verzug",K22)))</formula>
    </cfRule>
    <cfRule type="cellIs" dxfId="144" priority="146" operator="equal">
      <formula>"Ja"</formula>
    </cfRule>
  </conditionalFormatting>
  <conditionalFormatting sqref="K22:K23">
    <cfRule type="cellIs" dxfId="143" priority="144" operator="equal">
      <formula>"Nein"</formula>
    </cfRule>
  </conditionalFormatting>
  <conditionalFormatting sqref="B31:B32">
    <cfRule type="containsText" dxfId="142" priority="142" operator="containsText" text="Verzug">
      <formula>NOT(ISERROR(SEARCH("Verzug",B31)))</formula>
    </cfRule>
    <cfRule type="cellIs" dxfId="141" priority="143" operator="equal">
      <formula>"Ja"</formula>
    </cfRule>
  </conditionalFormatting>
  <conditionalFormatting sqref="B31:B32">
    <cfRule type="cellIs" dxfId="140" priority="141" operator="equal">
      <formula>"Nein"</formula>
    </cfRule>
  </conditionalFormatting>
  <conditionalFormatting sqref="E31:E32">
    <cfRule type="containsText" dxfId="139" priority="139" operator="containsText" text="Verzug">
      <formula>NOT(ISERROR(SEARCH("Verzug",E31)))</formula>
    </cfRule>
    <cfRule type="cellIs" dxfId="138" priority="140" operator="equal">
      <formula>"Ja"</formula>
    </cfRule>
  </conditionalFormatting>
  <conditionalFormatting sqref="E31:E32">
    <cfRule type="cellIs" dxfId="137" priority="138" operator="equal">
      <formula>"Nein"</formula>
    </cfRule>
  </conditionalFormatting>
  <conditionalFormatting sqref="H31:H32">
    <cfRule type="containsText" dxfId="136" priority="136" operator="containsText" text="Verzug">
      <formula>NOT(ISERROR(SEARCH("Verzug",H31)))</formula>
    </cfRule>
    <cfRule type="cellIs" dxfId="135" priority="137" operator="equal">
      <formula>"Ja"</formula>
    </cfRule>
  </conditionalFormatting>
  <conditionalFormatting sqref="H31:H32">
    <cfRule type="cellIs" dxfId="134" priority="135" operator="equal">
      <formula>"Nein"</formula>
    </cfRule>
  </conditionalFormatting>
  <conditionalFormatting sqref="K31:K32">
    <cfRule type="containsText" dxfId="133" priority="133" operator="containsText" text="Verzug">
      <formula>NOT(ISERROR(SEARCH("Verzug",K31)))</formula>
    </cfRule>
    <cfRule type="cellIs" dxfId="132" priority="134" operator="equal">
      <formula>"Ja"</formula>
    </cfRule>
  </conditionalFormatting>
  <conditionalFormatting sqref="K31:K32">
    <cfRule type="cellIs" dxfId="131" priority="132" operator="equal">
      <formula>"Nein"</formula>
    </cfRule>
  </conditionalFormatting>
  <conditionalFormatting sqref="B40:B41">
    <cfRule type="containsText" dxfId="130" priority="130" operator="containsText" text="Verzug">
      <formula>NOT(ISERROR(SEARCH("Verzug",B40)))</formula>
    </cfRule>
    <cfRule type="cellIs" dxfId="129" priority="131" operator="equal">
      <formula>"Ja"</formula>
    </cfRule>
  </conditionalFormatting>
  <conditionalFormatting sqref="B40:B41">
    <cfRule type="cellIs" dxfId="128" priority="129" operator="equal">
      <formula>"Nein"</formula>
    </cfRule>
  </conditionalFormatting>
  <conditionalFormatting sqref="E40:E41">
    <cfRule type="containsText" dxfId="127" priority="127" operator="containsText" text="Verzug">
      <formula>NOT(ISERROR(SEARCH("Verzug",E40)))</formula>
    </cfRule>
    <cfRule type="cellIs" dxfId="126" priority="128" operator="equal">
      <formula>"Ja"</formula>
    </cfRule>
  </conditionalFormatting>
  <conditionalFormatting sqref="E40:E41">
    <cfRule type="cellIs" dxfId="125" priority="126" operator="equal">
      <formula>"Nein"</formula>
    </cfRule>
  </conditionalFormatting>
  <conditionalFormatting sqref="H40:H41">
    <cfRule type="containsText" dxfId="124" priority="124" operator="containsText" text="Verzug">
      <formula>NOT(ISERROR(SEARCH("Verzug",H40)))</formula>
    </cfRule>
    <cfRule type="cellIs" dxfId="123" priority="125" operator="equal">
      <formula>"Ja"</formula>
    </cfRule>
  </conditionalFormatting>
  <conditionalFormatting sqref="H40:H41">
    <cfRule type="cellIs" dxfId="122" priority="123" operator="equal">
      <formula>"Nein"</formula>
    </cfRule>
  </conditionalFormatting>
  <conditionalFormatting sqref="K40:K41">
    <cfRule type="containsText" dxfId="121" priority="121" operator="containsText" text="Verzug">
      <formula>NOT(ISERROR(SEARCH("Verzug",K40)))</formula>
    </cfRule>
    <cfRule type="cellIs" dxfId="120" priority="122" operator="equal">
      <formula>"Ja"</formula>
    </cfRule>
  </conditionalFormatting>
  <conditionalFormatting sqref="K40:K41">
    <cfRule type="cellIs" dxfId="119" priority="120" operator="equal">
      <formula>"Nein"</formula>
    </cfRule>
  </conditionalFormatting>
  <conditionalFormatting sqref="B49:B50">
    <cfRule type="containsText" dxfId="118" priority="118" operator="containsText" text="Verzug">
      <formula>NOT(ISERROR(SEARCH("Verzug",B49)))</formula>
    </cfRule>
    <cfRule type="cellIs" dxfId="117" priority="119" operator="equal">
      <formula>"Ja"</formula>
    </cfRule>
  </conditionalFormatting>
  <conditionalFormatting sqref="B49:B50">
    <cfRule type="cellIs" dxfId="116" priority="117" operator="equal">
      <formula>"Nein"</formula>
    </cfRule>
  </conditionalFormatting>
  <conditionalFormatting sqref="E49:E50">
    <cfRule type="containsText" dxfId="115" priority="115" operator="containsText" text="Verzug">
      <formula>NOT(ISERROR(SEARCH("Verzug",E49)))</formula>
    </cfRule>
    <cfRule type="cellIs" dxfId="114" priority="116" operator="equal">
      <formula>"Ja"</formula>
    </cfRule>
  </conditionalFormatting>
  <conditionalFormatting sqref="E49:E50">
    <cfRule type="cellIs" dxfId="113" priority="114" operator="equal">
      <formula>"Nein"</formula>
    </cfRule>
  </conditionalFormatting>
  <conditionalFormatting sqref="H49:H50">
    <cfRule type="containsText" dxfId="112" priority="112" operator="containsText" text="Verzug">
      <formula>NOT(ISERROR(SEARCH("Verzug",H49)))</formula>
    </cfRule>
    <cfRule type="cellIs" dxfId="111" priority="113" operator="equal">
      <formula>"Ja"</formula>
    </cfRule>
  </conditionalFormatting>
  <conditionalFormatting sqref="H49:H50">
    <cfRule type="cellIs" dxfId="110" priority="111" operator="equal">
      <formula>"Nein"</formula>
    </cfRule>
  </conditionalFormatting>
  <conditionalFormatting sqref="K49:K50">
    <cfRule type="containsText" dxfId="109" priority="109" operator="containsText" text="Verzug">
      <formula>NOT(ISERROR(SEARCH("Verzug",K49)))</formula>
    </cfRule>
    <cfRule type="cellIs" dxfId="108" priority="110" operator="equal">
      <formula>"Ja"</formula>
    </cfRule>
  </conditionalFormatting>
  <conditionalFormatting sqref="K49:K50">
    <cfRule type="cellIs" dxfId="107" priority="108" operator="equal">
      <formula>"Nein"</formula>
    </cfRule>
  </conditionalFormatting>
  <conditionalFormatting sqref="B58:B59">
    <cfRule type="containsText" dxfId="106" priority="106" operator="containsText" text="Verzug">
      <formula>NOT(ISERROR(SEARCH("Verzug",B58)))</formula>
    </cfRule>
    <cfRule type="cellIs" dxfId="105" priority="107" operator="equal">
      <formula>"Ja"</formula>
    </cfRule>
  </conditionalFormatting>
  <conditionalFormatting sqref="B58:B59">
    <cfRule type="cellIs" dxfId="104" priority="105" operator="equal">
      <formula>"Nein"</formula>
    </cfRule>
  </conditionalFormatting>
  <conditionalFormatting sqref="E58:E59">
    <cfRule type="containsText" dxfId="103" priority="103" operator="containsText" text="Verzug">
      <formula>NOT(ISERROR(SEARCH("Verzug",E58)))</formula>
    </cfRule>
    <cfRule type="cellIs" dxfId="102" priority="104" operator="equal">
      <formula>"Ja"</formula>
    </cfRule>
  </conditionalFormatting>
  <conditionalFormatting sqref="E58:E59">
    <cfRule type="cellIs" dxfId="101" priority="102" operator="equal">
      <formula>"Nein"</formula>
    </cfRule>
  </conditionalFormatting>
  <conditionalFormatting sqref="H58:H59">
    <cfRule type="containsText" dxfId="100" priority="100" operator="containsText" text="Verzug">
      <formula>NOT(ISERROR(SEARCH("Verzug",H58)))</formula>
    </cfRule>
    <cfRule type="cellIs" dxfId="99" priority="101" operator="equal">
      <formula>"Ja"</formula>
    </cfRule>
  </conditionalFormatting>
  <conditionalFormatting sqref="H58:H59">
    <cfRule type="cellIs" dxfId="98" priority="99" operator="equal">
      <formula>"Nein"</formula>
    </cfRule>
  </conditionalFormatting>
  <conditionalFormatting sqref="B8">
    <cfRule type="containsText" dxfId="97" priority="97" operator="containsText" text="Verzug">
      <formula>NOT(ISERROR(SEARCH("Verzug",B8)))</formula>
    </cfRule>
    <cfRule type="cellIs" dxfId="96" priority="98" operator="equal">
      <formula>"Ja"</formula>
    </cfRule>
  </conditionalFormatting>
  <conditionalFormatting sqref="B9">
    <cfRule type="containsText" dxfId="95" priority="95" operator="containsText" text="Verzug">
      <formula>NOT(ISERROR(SEARCH("Verzug",B9)))</formula>
    </cfRule>
    <cfRule type="cellIs" dxfId="94" priority="96" operator="equal">
      <formula>"Ja"</formula>
    </cfRule>
  </conditionalFormatting>
  <conditionalFormatting sqref="B9">
    <cfRule type="cellIs" dxfId="93" priority="94" operator="equal">
      <formula>"Nein"</formula>
    </cfRule>
  </conditionalFormatting>
  <conditionalFormatting sqref="E7">
    <cfRule type="containsText" dxfId="92" priority="92" operator="containsText" text="Verzug">
      <formula>NOT(ISERROR(SEARCH("Verzug",E7)))</formula>
    </cfRule>
    <cfRule type="cellIs" dxfId="91" priority="93" operator="equal">
      <formula>"Ja"</formula>
    </cfRule>
  </conditionalFormatting>
  <conditionalFormatting sqref="E7">
    <cfRule type="cellIs" dxfId="90" priority="91" operator="equal">
      <formula>"Nein"</formula>
    </cfRule>
  </conditionalFormatting>
  <conditionalFormatting sqref="H7">
    <cfRule type="containsText" dxfId="89" priority="89" operator="containsText" text="Verzug">
      <formula>NOT(ISERROR(SEARCH("Verzug",H7)))</formula>
    </cfRule>
    <cfRule type="cellIs" dxfId="88" priority="90" operator="equal">
      <formula>"Ja"</formula>
    </cfRule>
  </conditionalFormatting>
  <conditionalFormatting sqref="H7">
    <cfRule type="cellIs" dxfId="87" priority="88" operator="equal">
      <formula>"Nein"</formula>
    </cfRule>
  </conditionalFormatting>
  <conditionalFormatting sqref="K7">
    <cfRule type="containsText" dxfId="86" priority="86" operator="containsText" text="Verzug">
      <formula>NOT(ISERROR(SEARCH("Verzug",K7)))</formula>
    </cfRule>
    <cfRule type="cellIs" dxfId="85" priority="87" operator="equal">
      <formula>"Ja"</formula>
    </cfRule>
  </conditionalFormatting>
  <conditionalFormatting sqref="K7">
    <cfRule type="cellIs" dxfId="84" priority="85" operator="equal">
      <formula>"Nein"</formula>
    </cfRule>
  </conditionalFormatting>
  <conditionalFormatting sqref="K8">
    <cfRule type="containsText" dxfId="83" priority="83" operator="containsText" text="Verzug">
      <formula>NOT(ISERROR(SEARCH("Verzug",K8)))</formula>
    </cfRule>
    <cfRule type="cellIs" dxfId="82" priority="84" operator="equal">
      <formula>"Ja"</formula>
    </cfRule>
  </conditionalFormatting>
  <conditionalFormatting sqref="K8">
    <cfRule type="cellIs" dxfId="81" priority="82" operator="equal">
      <formula>"Nein"</formula>
    </cfRule>
  </conditionalFormatting>
  <conditionalFormatting sqref="K9">
    <cfRule type="containsText" dxfId="80" priority="80" operator="containsText" text="Verzug">
      <formula>NOT(ISERROR(SEARCH("Verzug",K9)))</formula>
    </cfRule>
    <cfRule type="cellIs" dxfId="79" priority="81" operator="equal">
      <formula>"Ja"</formula>
    </cfRule>
  </conditionalFormatting>
  <conditionalFormatting sqref="K9">
    <cfRule type="cellIs" dxfId="78" priority="79" operator="equal">
      <formula>"Nein"</formula>
    </cfRule>
  </conditionalFormatting>
  <conditionalFormatting sqref="B16">
    <cfRule type="containsText" dxfId="77" priority="77" operator="containsText" text="Verzug">
      <formula>NOT(ISERROR(SEARCH("Verzug",B16)))</formula>
    </cfRule>
    <cfRule type="cellIs" dxfId="76" priority="78" operator="equal">
      <formula>"Ja"</formula>
    </cfRule>
  </conditionalFormatting>
  <conditionalFormatting sqref="B16">
    <cfRule type="cellIs" dxfId="75" priority="76" operator="equal">
      <formula>"Nein"</formula>
    </cfRule>
  </conditionalFormatting>
  <conditionalFormatting sqref="B17">
    <cfRule type="containsText" dxfId="74" priority="74" operator="containsText" text="Verzug">
      <formula>NOT(ISERROR(SEARCH("Verzug",B17)))</formula>
    </cfRule>
    <cfRule type="cellIs" dxfId="73" priority="75" operator="equal">
      <formula>"Ja"</formula>
    </cfRule>
  </conditionalFormatting>
  <conditionalFormatting sqref="B17">
    <cfRule type="cellIs" dxfId="72" priority="73" operator="equal">
      <formula>"Nein"</formula>
    </cfRule>
  </conditionalFormatting>
  <conditionalFormatting sqref="E16">
    <cfRule type="containsText" dxfId="71" priority="71" operator="containsText" text="Verzug">
      <formula>NOT(ISERROR(SEARCH("Verzug",E16)))</formula>
    </cfRule>
    <cfRule type="cellIs" dxfId="70" priority="72" operator="equal">
      <formula>"Ja"</formula>
    </cfRule>
  </conditionalFormatting>
  <conditionalFormatting sqref="E16">
    <cfRule type="cellIs" dxfId="69" priority="70" operator="equal">
      <formula>"Nein"</formula>
    </cfRule>
  </conditionalFormatting>
  <conditionalFormatting sqref="E17">
    <cfRule type="containsText" dxfId="68" priority="68" operator="containsText" text="Verzug">
      <formula>NOT(ISERROR(SEARCH("Verzug",E17)))</formula>
    </cfRule>
    <cfRule type="cellIs" dxfId="67" priority="69" operator="equal">
      <formula>"Ja"</formula>
    </cfRule>
  </conditionalFormatting>
  <conditionalFormatting sqref="E17">
    <cfRule type="cellIs" dxfId="66" priority="67" operator="equal">
      <formula>"Nein"</formula>
    </cfRule>
  </conditionalFormatting>
  <conditionalFormatting sqref="H16">
    <cfRule type="containsText" dxfId="65" priority="65" operator="containsText" text="Verzug">
      <formula>NOT(ISERROR(SEARCH("Verzug",H16)))</formula>
    </cfRule>
    <cfRule type="cellIs" dxfId="64" priority="66" operator="equal">
      <formula>"Ja"</formula>
    </cfRule>
  </conditionalFormatting>
  <conditionalFormatting sqref="H16">
    <cfRule type="cellIs" dxfId="63" priority="64" operator="equal">
      <formula>"Nein"</formula>
    </cfRule>
  </conditionalFormatting>
  <conditionalFormatting sqref="H17">
    <cfRule type="containsText" dxfId="62" priority="62" operator="containsText" text="Verzug">
      <formula>NOT(ISERROR(SEARCH("Verzug",H17)))</formula>
    </cfRule>
    <cfRule type="cellIs" dxfId="61" priority="63" operator="equal">
      <formula>"Ja"</formula>
    </cfRule>
  </conditionalFormatting>
  <conditionalFormatting sqref="H17">
    <cfRule type="cellIs" dxfId="60" priority="61" operator="equal">
      <formula>"Nein"</formula>
    </cfRule>
  </conditionalFormatting>
  <conditionalFormatting sqref="K16">
    <cfRule type="containsText" dxfId="59" priority="59" operator="containsText" text="Verzug">
      <formula>NOT(ISERROR(SEARCH("Verzug",K16)))</formula>
    </cfRule>
    <cfRule type="cellIs" dxfId="58" priority="60" operator="equal">
      <formula>"Ja"</formula>
    </cfRule>
  </conditionalFormatting>
  <conditionalFormatting sqref="K16">
    <cfRule type="cellIs" dxfId="57" priority="58" operator="equal">
      <formula>"Nein"</formula>
    </cfRule>
  </conditionalFormatting>
  <conditionalFormatting sqref="K25">
    <cfRule type="containsText" dxfId="56" priority="56" operator="containsText" text="Verzug">
      <formula>NOT(ISERROR(SEARCH("Verzug",K25)))</formula>
    </cfRule>
    <cfRule type="cellIs" dxfId="55" priority="57" operator="equal">
      <formula>"Ja"</formula>
    </cfRule>
  </conditionalFormatting>
  <conditionalFormatting sqref="K25">
    <cfRule type="cellIs" dxfId="54" priority="55" operator="equal">
      <formula>"Nein"</formula>
    </cfRule>
  </conditionalFormatting>
  <conditionalFormatting sqref="H25">
    <cfRule type="containsText" dxfId="53" priority="53" operator="containsText" text="Verzug">
      <formula>NOT(ISERROR(SEARCH("Verzug",H25)))</formula>
    </cfRule>
    <cfRule type="cellIs" dxfId="52" priority="54" operator="equal">
      <formula>"Ja"</formula>
    </cfRule>
  </conditionalFormatting>
  <conditionalFormatting sqref="H25">
    <cfRule type="cellIs" dxfId="51" priority="52" operator="equal">
      <formula>"Nein"</formula>
    </cfRule>
  </conditionalFormatting>
  <conditionalFormatting sqref="H26">
    <cfRule type="containsText" dxfId="50" priority="50" operator="containsText" text="Verzug">
      <formula>NOT(ISERROR(SEARCH("Verzug",H26)))</formula>
    </cfRule>
    <cfRule type="cellIs" dxfId="49" priority="51" operator="equal">
      <formula>"Ja"</formula>
    </cfRule>
  </conditionalFormatting>
  <conditionalFormatting sqref="H26">
    <cfRule type="cellIs" dxfId="48" priority="49" operator="equal">
      <formula>"Nein"</formula>
    </cfRule>
  </conditionalFormatting>
  <conditionalFormatting sqref="E25">
    <cfRule type="containsText" dxfId="47" priority="47" operator="containsText" text="Verzug">
      <formula>NOT(ISERROR(SEARCH("Verzug",E25)))</formula>
    </cfRule>
    <cfRule type="cellIs" dxfId="46" priority="48" operator="equal">
      <formula>"Ja"</formula>
    </cfRule>
  </conditionalFormatting>
  <conditionalFormatting sqref="E25">
    <cfRule type="cellIs" dxfId="45" priority="46" operator="equal">
      <formula>"Nein"</formula>
    </cfRule>
  </conditionalFormatting>
  <conditionalFormatting sqref="E26">
    <cfRule type="containsText" dxfId="44" priority="44" operator="containsText" text="Verzug">
      <formula>NOT(ISERROR(SEARCH("Verzug",E26)))</formula>
    </cfRule>
    <cfRule type="cellIs" dxfId="43" priority="45" operator="equal">
      <formula>"Ja"</formula>
    </cfRule>
  </conditionalFormatting>
  <conditionalFormatting sqref="E26">
    <cfRule type="cellIs" dxfId="42" priority="43" operator="equal">
      <formula>"Nein"</formula>
    </cfRule>
  </conditionalFormatting>
  <conditionalFormatting sqref="B25">
    <cfRule type="containsText" dxfId="41" priority="41" operator="containsText" text="Verzug">
      <formula>NOT(ISERROR(SEARCH("Verzug",B25)))</formula>
    </cfRule>
    <cfRule type="cellIs" dxfId="40" priority="42" operator="equal">
      <formula>"Ja"</formula>
    </cfRule>
  </conditionalFormatting>
  <conditionalFormatting sqref="B25">
    <cfRule type="cellIs" dxfId="39" priority="40" operator="equal">
      <formula>"Nein"</formula>
    </cfRule>
  </conditionalFormatting>
  <conditionalFormatting sqref="B34">
    <cfRule type="containsText" dxfId="38" priority="38" operator="containsText" text="Verzug">
      <formula>NOT(ISERROR(SEARCH("Verzug",B34)))</formula>
    </cfRule>
    <cfRule type="cellIs" dxfId="37" priority="39" operator="equal">
      <formula>"Ja"</formula>
    </cfRule>
  </conditionalFormatting>
  <conditionalFormatting sqref="B34">
    <cfRule type="cellIs" dxfId="36" priority="37" operator="equal">
      <formula>"Nein"</formula>
    </cfRule>
  </conditionalFormatting>
  <conditionalFormatting sqref="B35">
    <cfRule type="containsText" dxfId="35" priority="35" operator="containsText" text="Verzug">
      <formula>NOT(ISERROR(SEARCH("Verzug",B35)))</formula>
    </cfRule>
    <cfRule type="cellIs" dxfId="34" priority="36" operator="equal">
      <formula>"Ja"</formula>
    </cfRule>
  </conditionalFormatting>
  <conditionalFormatting sqref="B35">
    <cfRule type="cellIs" dxfId="33" priority="34" operator="equal">
      <formula>"Nein"</formula>
    </cfRule>
  </conditionalFormatting>
  <conditionalFormatting sqref="E34">
    <cfRule type="containsText" dxfId="32" priority="32" operator="containsText" text="Verzug">
      <formula>NOT(ISERROR(SEARCH("Verzug",E34)))</formula>
    </cfRule>
    <cfRule type="cellIs" dxfId="31" priority="33" operator="equal">
      <formula>"Ja"</formula>
    </cfRule>
  </conditionalFormatting>
  <conditionalFormatting sqref="E34">
    <cfRule type="cellIs" dxfId="30" priority="31" operator="equal">
      <formula>"Nein"</formula>
    </cfRule>
  </conditionalFormatting>
  <conditionalFormatting sqref="H34">
    <cfRule type="containsText" dxfId="29" priority="29" operator="containsText" text="Verzug">
      <formula>NOT(ISERROR(SEARCH("Verzug",H34)))</formula>
    </cfRule>
    <cfRule type="cellIs" dxfId="28" priority="30" operator="equal">
      <formula>"Ja"</formula>
    </cfRule>
  </conditionalFormatting>
  <conditionalFormatting sqref="H34">
    <cfRule type="cellIs" dxfId="27" priority="28" operator="equal">
      <formula>"Nein"</formula>
    </cfRule>
  </conditionalFormatting>
  <conditionalFormatting sqref="K34">
    <cfRule type="containsText" dxfId="26" priority="26" operator="containsText" text="Verzug">
      <formula>NOT(ISERROR(SEARCH("Verzug",K34)))</formula>
    </cfRule>
    <cfRule type="cellIs" dxfId="25" priority="27" operator="equal">
      <formula>"Ja"</formula>
    </cfRule>
  </conditionalFormatting>
  <conditionalFormatting sqref="K34">
    <cfRule type="cellIs" dxfId="24" priority="25" operator="equal">
      <formula>"Nein"</formula>
    </cfRule>
  </conditionalFormatting>
  <conditionalFormatting sqref="B43">
    <cfRule type="containsText" dxfId="23" priority="23" operator="containsText" text="Verzug">
      <formula>NOT(ISERROR(SEARCH("Verzug",B43)))</formula>
    </cfRule>
    <cfRule type="cellIs" dxfId="22" priority="24" operator="equal">
      <formula>"Ja"</formula>
    </cfRule>
  </conditionalFormatting>
  <conditionalFormatting sqref="B43">
    <cfRule type="cellIs" dxfId="21" priority="22" operator="equal">
      <formula>"Nein"</formula>
    </cfRule>
  </conditionalFormatting>
  <conditionalFormatting sqref="E43">
    <cfRule type="containsText" dxfId="20" priority="20" operator="containsText" text="Verzug">
      <formula>NOT(ISERROR(SEARCH("Verzug",E43)))</formula>
    </cfRule>
    <cfRule type="cellIs" dxfId="19" priority="21" operator="equal">
      <formula>"Ja"</formula>
    </cfRule>
  </conditionalFormatting>
  <conditionalFormatting sqref="E43">
    <cfRule type="cellIs" dxfId="18" priority="19" operator="equal">
      <formula>"Nein"</formula>
    </cfRule>
  </conditionalFormatting>
  <conditionalFormatting sqref="H43">
    <cfRule type="containsText" dxfId="17" priority="17" operator="containsText" text="Verzug">
      <formula>NOT(ISERROR(SEARCH("Verzug",H43)))</formula>
    </cfRule>
    <cfRule type="cellIs" dxfId="16" priority="18" operator="equal">
      <formula>"Ja"</formula>
    </cfRule>
  </conditionalFormatting>
  <conditionalFormatting sqref="H43">
    <cfRule type="cellIs" dxfId="15" priority="16" operator="equal">
      <formula>"Nein"</formula>
    </cfRule>
  </conditionalFormatting>
  <conditionalFormatting sqref="K43">
    <cfRule type="containsText" dxfId="14" priority="14" operator="containsText" text="Verzug">
      <formula>NOT(ISERROR(SEARCH("Verzug",K43)))</formula>
    </cfRule>
    <cfRule type="cellIs" dxfId="13" priority="15" operator="equal">
      <formula>"Ja"</formula>
    </cfRule>
  </conditionalFormatting>
  <conditionalFormatting sqref="K43">
    <cfRule type="cellIs" dxfId="12" priority="13" operator="equal">
      <formula>"Nein"</formula>
    </cfRule>
  </conditionalFormatting>
  <conditionalFormatting sqref="K52">
    <cfRule type="containsText" dxfId="11" priority="11" operator="containsText" text="Verzug">
      <formula>NOT(ISERROR(SEARCH("Verzug",K52)))</formula>
    </cfRule>
    <cfRule type="cellIs" dxfId="10" priority="12" operator="equal">
      <formula>"Ja"</formula>
    </cfRule>
  </conditionalFormatting>
  <conditionalFormatting sqref="K52">
    <cfRule type="cellIs" dxfId="9" priority="10" operator="equal">
      <formula>"Nein"</formula>
    </cfRule>
  </conditionalFormatting>
  <conditionalFormatting sqref="H52">
    <cfRule type="containsText" dxfId="8" priority="8" operator="containsText" text="Verzug">
      <formula>NOT(ISERROR(SEARCH("Verzug",H52)))</formula>
    </cfRule>
    <cfRule type="cellIs" dxfId="7" priority="9" operator="equal">
      <formula>"Ja"</formula>
    </cfRule>
  </conditionalFormatting>
  <conditionalFormatting sqref="H52">
    <cfRule type="cellIs" dxfId="6" priority="7" operator="equal">
      <formula>"Nein"</formula>
    </cfRule>
  </conditionalFormatting>
  <conditionalFormatting sqref="E52">
    <cfRule type="containsText" dxfId="5" priority="5" operator="containsText" text="Verzug">
      <formula>NOT(ISERROR(SEARCH("Verzug",E52)))</formula>
    </cfRule>
    <cfRule type="cellIs" dxfId="4" priority="6" operator="equal">
      <formula>"Ja"</formula>
    </cfRule>
  </conditionalFormatting>
  <conditionalFormatting sqref="E52">
    <cfRule type="cellIs" dxfId="3" priority="4" operator="equal">
      <formula>"Nein"</formula>
    </cfRule>
  </conditionalFormatting>
  <conditionalFormatting sqref="B52">
    <cfRule type="containsText" dxfId="2" priority="2" operator="containsText" text="Verzug">
      <formula>NOT(ISERROR(SEARCH("Verzug",B52)))</formula>
    </cfRule>
    <cfRule type="cellIs" dxfId="1" priority="3" operator="equal">
      <formula>"Ja"</formula>
    </cfRule>
  </conditionalFormatting>
  <conditionalFormatting sqref="B52">
    <cfRule type="cellIs" dxfId="0" priority="1" operator="equal">
      <formula>"Nein"</formula>
    </cfRule>
  </conditionalFormatting>
  <dataValidations count="1">
    <dataValidation type="list" allowBlank="1" showInputMessage="1" showErrorMessage="1" sqref="B4:B5 H58:H59 E4:E5 H4:H5 K4:K5 B13:B14 E13:E14 H13:H14 K13:K14 B22:B23 E22:E23 H22:H23 K22:K23 B31:B32 E31:E32 H31:H32 K31:K32 B40:B41 E40:E41 H40:H41 K40:K41 B49:B50 E49:E50 H49:H50 K49:K50 B58:B59 E58:E59 B8:B9 E7 H7 K7:K9 B16:B17 E16:E17 H16:H17 K16 K25 H25:H26 E25:E26 B25 B34:B35 E34 H34 K34 B43 E43 H43 K43 K52 H52 E52 B52" xr:uid="{00000000-0002-0000-0500-000000000000}">
      <formula1>JaNein</formula1>
    </dataValidation>
  </dataValidations>
  <pageMargins left="0.7" right="0.7" top="0.78740157499999996" bottom="0.78740157499999996" header="0.3" footer="0.3"/>
  <pageSetup paperSize="8" orientation="landscape" horizontalDpi="1200" verticalDpi="1200" r:id="rId1"/>
  <customProperties>
    <customPr name="EpmWorksheetKeyString_GU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D23"/>
  <sheetViews>
    <sheetView workbookViewId="0">
      <selection activeCell="D1" sqref="D1:D2"/>
    </sheetView>
  </sheetViews>
  <sheetFormatPr baseColWidth="10" defaultRowHeight="14.5" x14ac:dyDescent="0.35"/>
  <cols>
    <col min="1" max="1" width="26.1796875" bestFit="1" customWidth="1"/>
    <col min="2" max="2" width="4.453125" bestFit="1" customWidth="1"/>
  </cols>
  <sheetData>
    <row r="1" spans="1:4" x14ac:dyDescent="0.35">
      <c r="A1" s="206" t="s">
        <v>134</v>
      </c>
      <c r="B1" s="207"/>
      <c r="D1" t="s">
        <v>152</v>
      </c>
    </row>
    <row r="2" spans="1:4" x14ac:dyDescent="0.35">
      <c r="A2" s="108" t="s">
        <v>37</v>
      </c>
      <c r="B2" s="109">
        <v>1.1000000000000001</v>
      </c>
      <c r="D2" t="s">
        <v>153</v>
      </c>
    </row>
    <row r="3" spans="1:4" x14ac:dyDescent="0.35">
      <c r="A3" s="108" t="s">
        <v>40</v>
      </c>
      <c r="B3" s="109">
        <v>1.2</v>
      </c>
    </row>
    <row r="4" spans="1:4" x14ac:dyDescent="0.35">
      <c r="A4" s="108" t="s">
        <v>14</v>
      </c>
      <c r="B4" s="109">
        <v>1.3</v>
      </c>
    </row>
    <row r="5" spans="1:4" x14ac:dyDescent="0.35">
      <c r="A5" s="108" t="s">
        <v>15</v>
      </c>
      <c r="B5" s="109">
        <v>1.4</v>
      </c>
    </row>
    <row r="6" spans="1:4" x14ac:dyDescent="0.35">
      <c r="A6" s="108" t="s">
        <v>49</v>
      </c>
      <c r="B6" s="109">
        <v>1.5</v>
      </c>
    </row>
    <row r="7" spans="1:4" x14ac:dyDescent="0.35">
      <c r="A7" s="108" t="s">
        <v>10</v>
      </c>
      <c r="B7" s="109">
        <v>1.6</v>
      </c>
    </row>
    <row r="8" spans="1:4" x14ac:dyDescent="0.35">
      <c r="A8" s="108" t="s">
        <v>16</v>
      </c>
      <c r="B8" s="109">
        <v>2.2000000000000002</v>
      </c>
    </row>
    <row r="9" spans="1:4" x14ac:dyDescent="0.35">
      <c r="A9" s="108" t="s">
        <v>12</v>
      </c>
      <c r="B9" s="109">
        <v>2.2999999999999998</v>
      </c>
    </row>
    <row r="10" spans="1:4" x14ac:dyDescent="0.35">
      <c r="A10" s="108" t="s">
        <v>62</v>
      </c>
      <c r="B10" s="109">
        <v>2.4</v>
      </c>
    </row>
    <row r="11" spans="1:4" x14ac:dyDescent="0.35">
      <c r="A11" s="108" t="s">
        <v>19</v>
      </c>
      <c r="B11" s="109">
        <v>2.5</v>
      </c>
    </row>
    <row r="12" spans="1:4" x14ac:dyDescent="0.35">
      <c r="A12" s="108" t="s">
        <v>20</v>
      </c>
      <c r="B12" s="109">
        <v>2.6</v>
      </c>
    </row>
    <row r="13" spans="1:4" x14ac:dyDescent="0.35">
      <c r="A13" s="108" t="s">
        <v>21</v>
      </c>
      <c r="B13" s="109">
        <v>2.7</v>
      </c>
    </row>
    <row r="14" spans="1:4" x14ac:dyDescent="0.35">
      <c r="A14" s="108" t="s">
        <v>22</v>
      </c>
      <c r="B14" s="109">
        <v>2.8</v>
      </c>
    </row>
    <row r="15" spans="1:4" x14ac:dyDescent="0.35">
      <c r="A15" s="108" t="s">
        <v>17</v>
      </c>
      <c r="B15" s="109">
        <v>2.9</v>
      </c>
    </row>
    <row r="16" spans="1:4" x14ac:dyDescent="0.35">
      <c r="A16" s="108" t="s">
        <v>18</v>
      </c>
      <c r="B16" s="110">
        <v>2.1</v>
      </c>
    </row>
    <row r="17" spans="1:2" x14ac:dyDescent="0.35">
      <c r="A17" s="108" t="s">
        <v>24</v>
      </c>
      <c r="B17" s="110">
        <v>2.11</v>
      </c>
    </row>
    <row r="18" spans="1:2" x14ac:dyDescent="0.35">
      <c r="A18" s="108" t="s">
        <v>27</v>
      </c>
      <c r="B18" s="110">
        <v>2.12</v>
      </c>
    </row>
    <row r="19" spans="1:2" x14ac:dyDescent="0.35">
      <c r="A19" s="108" t="s">
        <v>82</v>
      </c>
      <c r="B19" s="110">
        <v>2.13</v>
      </c>
    </row>
    <row r="20" spans="1:2" x14ac:dyDescent="0.35">
      <c r="A20" s="108" t="s">
        <v>28</v>
      </c>
      <c r="B20" s="111">
        <v>3.1</v>
      </c>
    </row>
    <row r="21" spans="1:2" x14ac:dyDescent="0.35">
      <c r="A21" s="108" t="s">
        <v>23</v>
      </c>
      <c r="B21" s="111">
        <v>3.2</v>
      </c>
    </row>
    <row r="22" spans="1:2" x14ac:dyDescent="0.35">
      <c r="A22" s="108" t="s">
        <v>90</v>
      </c>
      <c r="B22" s="111">
        <v>3.3</v>
      </c>
    </row>
    <row r="23" spans="1:2" x14ac:dyDescent="0.35">
      <c r="A23" s="112" t="s">
        <v>13</v>
      </c>
      <c r="B23" s="113">
        <v>4.0999999999999996</v>
      </c>
    </row>
  </sheetData>
  <mergeCells count="1">
    <mergeCell ref="A1:B1"/>
  </mergeCells>
  <pageMargins left="0.7" right="0.7" top="0.78740157499999996" bottom="0.78740157499999996" header="0.3" footer="0.3"/>
  <customProperties>
    <customPr name="EpmWorksheetKeyString_GU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:fields xmlns:f="http://schemas.fabasoft.com/folio/2007/fields">
  <f:record ref="">
    <f:field ref="objname" par="" edit="true" text="Projektstrukturplan DIMaaS"/>
    <f:field ref="objsubject" par="" edit="true" text=""/>
    <f:field ref="objcreatedby" par="" text="Kaenel, Urs (BFE - kau)"/>
    <f:field ref="objcreatedat" par="" text="13.06.2019 11:00:59"/>
    <f:field ref="objchangedby" par="" text="Hertach, Martin (BFE - hem)"/>
    <f:field ref="objmodifiedat" par="" text="13.06.2019 15:43:03"/>
    <f:field ref="doc_FSCFOLIO_1_1001_FieldDocumentNumber" par="" text=""/>
    <f:field ref="doc_FSCFOLIO_1_1001_FieldSubject" par="" edit="true" text=""/>
    <f:field ref="FSCFOLIO_1_1001_FieldCurrentUser" par="" text="Urs Kaenel"/>
    <f:field ref="CCAPRECONFIG_15_1001_Objektname" par="" edit="true" text="Projektstrukturplan DIMaaS"/>
    <f:field ref="CHPRECONFIG_1_1001_Objektname" par="" edit="true" text="Projektstrukturplan DIMaaS"/>
  </f:record>
  <f:record inx="1" ref="">
    <f:field ref="CCAPRECONFIG_15_1001_Anrede" par="" edit="true" text=""/>
    <f:field ref="CCAPRECONFIG_15_1001_Anrede_Briefkopf" par="" text=""/>
    <f:field ref="CCAPRECONFIG_15_1001_Geschlecht_Anrede" par="" text=""/>
    <f:field ref="CCAPRECONFIG_15_1001_Titel" par="" edit="true" text=""/>
    <f:field ref="CCAPRECONFIG_15_1001_Nachgestellter_Titel" par="" edit="true" text=""/>
    <f:field ref="CCAPRECONFIG_15_1001_Vorname" par="" edit="true" text=""/>
    <f:field ref="CCAPRECONFIG_15_1001_Nachname" par="" edit="true" text=""/>
    <f:field ref="CCAPRECONFIG_15_1001_zH" par="" edit="true" text=""/>
    <f:field ref="CCAPRECONFIG_15_1001_Geschlecht" par="" text=""/>
    <f:field ref="CCAPRECONFIG_15_1001_Strasse" par="" text=""/>
    <f:field ref="CCAPRECONFIG_15_1001_Hausnummer" par="" text=""/>
    <f:field ref="CCAPRECONFIG_15_1001_Stiege" par="" text=""/>
    <f:field ref="CCAPRECONFIG_15_1001_Stock" par="" text=""/>
    <f:field ref="CCAPRECONFIG_15_1001_Tuer" par="" text=""/>
    <f:field ref="CCAPRECONFIG_15_1001_Postfach" par="" text=""/>
    <f:field ref="CCAPRECONFIG_15_1001_Postleitzahl" par="" text=""/>
    <f:field ref="CCAPRECONFIG_15_1001_Ort" par="" text=""/>
    <f:field ref="CCAPRECONFIG_15_1001_Land" par="" text=""/>
    <f:field ref="CCAPRECONFIG_15_1001_Email" par="" text=""/>
    <f:field ref="CCAPRECONFIG_15_1001_Postalische_Adresse" par="" text=""/>
    <f:field ref="CCAPRECONFIG_15_1001_Adresse" par="" text=""/>
    <f:field ref="CCAPRECONFIG_15_1001_Fax" par="" text=""/>
    <f:field ref="CCAPRECONFIG_15_1001_Telefon" par="" text=""/>
    <f:field ref="CCAPRECONFIG_15_1001_Geburtsdatum" par="" text=""/>
    <f:field ref="CCAPRECONFIG_15_1001_Sozialversicherungsnummer" par="" text=""/>
    <f:field ref="CCAPRECONFIG_15_1001_Berufstitel" par="" text=""/>
    <f:field ref="CCAPRECONFIG_15_1001_Funktionsbezeichnung" par="" text=""/>
    <f:field ref="CCAPRECONFIG_15_1001_Organisationsname" par="" text=""/>
    <f:field ref="CCAPRECONFIG_15_1001_Organisationskurzname" par="" text=""/>
    <f:field ref="CCAPRECONFIG_15_1001_Abschriftsbemerkung" par="" text=""/>
    <f:field ref="CCAPRECONFIG_15_1001_Name_Zeile_2" par="" text=""/>
    <f:field ref="CCAPRECONFIG_15_1001_Name_Zeile_3" par="" text=""/>
    <f:field ref="CCAPRECONFIG_15_1001_Firmenbuchnummer" par="" text=""/>
    <f:field ref="CCAPRECONFIG_15_1001_Versandart" par="" text="B-Post"/>
    <f:field ref="CCAPRECONFIG_15_1001_Kategorie" par="" text="Empfänger/in"/>
    <f:field ref="CCAPRECONFIG_15_1001_Rechtsform" par="" text=""/>
    <f:field ref="CCAPRECONFIG_15_1001_Ziel" par="" text=""/>
    <f:field ref="CHPRECONFIG_1_1001_Anrede" par="" edit="true" text=""/>
    <f:field ref="CHPRECONFIG_1_1001_Titel" par="" edit="true" text=""/>
    <f:field ref="CHPRECONFIG_1_1001_Vorname" par="" edit="true" text=""/>
    <f:field ref="CHPRECONFIG_1_1001_Nachname" par="" edit="true" text=""/>
    <f:field ref="CHPRECONFIG_1_1001_Strasse" par="" text=""/>
    <f:field ref="CHPRECONFIG_1_1001_Postleitzahl" par="" text=""/>
    <f:field ref="CHPRECONFIG_1_1001_Ort" par="" text=""/>
    <f:field ref="CHPRECONFIG_1_1001_EMailAdresse" par="" text=""/>
    <f:field ref="UVEKCFG_15_1700_Personal" par="" text=""/>
    <f:field ref="UVEKCFG_15_1700_Geschlecht" par="" text=""/>
    <f:field ref="UVEKCFG_15_1700_GebDatum" par="" text=""/>
    <f:field ref="UVEKCFG_15_1700_Beruf" par="" text=""/>
    <f:field ref="UVEKCFG_15_1700_Familienstand" par="" text=""/>
    <f:field ref="UVEKCFG_15_1700_Muttersprache" par="" text=""/>
    <f:field ref="UVEKCFG_15_1700_Geboren_in" par="" text=""/>
    <f:field ref="UVEKCFG_15_1700_Briefanrede" par="" text=""/>
    <f:field ref="UVEKCFG_15_1700_Kommunikationssprache" par="" text=""/>
    <f:field ref="UVEKCFG_15_1700_Webseite" par="" text=""/>
    <f:field ref="UVEKCFG_15_1700_TelNr_Business" par="" text=""/>
    <f:field ref="UVEKCFG_15_1700_TelNr_Private" par="" text=""/>
    <f:field ref="UVEKCFG_15_1700_TelNr_Mobile" par="" text=""/>
    <f:field ref="UVEKCFG_15_1700_TelNr_Other" par="" text=""/>
    <f:field ref="UVEKCFG_15_1700_TelNr_Fax" par="" text=""/>
    <f:field ref="UVEKCFG_15_1700_EMail1" par="" text=""/>
    <f:field ref="UVEKCFG_15_1700_EMail2" par="" text=""/>
    <f:field ref="UVEKCFG_15_1700_EMail3" par="" text=""/>
    <f:field ref="UVEKCFG_15_1700_UID" par="" text=""/>
    <f:field ref="UVEKCFG_15_1700_Klassifizierung" par="" text=""/>
    <f:field ref="UVEKCFG_15_1700_Gruendungsjahr" par="" text=""/>
    <f:field ref="UVEKCFG_15_1700_Versandart" par="" text="B-Post"/>
    <f:field ref="UVEKCFG_15_1700_Versandvermek" par="" text=""/>
    <f:field ref="UVEKCFG_15_1700_Kurzbezeichnung" par="" text=""/>
    <f:field ref="UVEKCFG_15_1700_Strasse2" par="" text=""/>
    <f:field ref="UVEKCFG_15_1700_Hausnummer_Zusatz" par="" text=""/>
    <f:field ref="UVEKCFG_15_1700_Land" par="" text=""/>
    <f:field ref="UVEKCFG_15_1700_Serienbrieffeld_1" par="" text=""/>
    <f:field ref="UVEKCFG_15_1700_Serienbrieffeld_2" par="" text=""/>
    <f:field ref="UVEKCFG_15_1700_Serienbrieffeld_3" par="" text=""/>
    <f:field ref="UVEKCFG_15_1700_Serienbrieffeld_4" par="" text=""/>
    <f:field ref="UVEKCFG_15_1700_Serienbrieffeld_5" par="" text=""/>
    <f:field ref="UVEKCFG_15_1700_Adresszeile_1" par="" text=""/>
    <f:field ref="UVEKCFG_15_1700_Adresszeile_2" par="" text=""/>
    <f:field ref="UVEKCFG_15_1700_Adresszeile_3" par="" text=""/>
    <f:field ref="UVEKCFG_15_1700_Adresszeile_4" par="" text=""/>
    <f:field ref="UVEKCFG_15_1700_Adresszeile_5" par="" text=""/>
    <f:field ref="UVEKCFG_15_1700_Adresszeile_6" par="" text=""/>
    <f:field ref="UVEKCFG_15_1700_Adresszeile_7" par="" text=""/>
    <f:field ref="UVEKCFG_15_1700_Adresszeile_8" par="" text=""/>
    <f:field ref="UVEKCFG_15_1700_Adresszeile_9" par="" text=""/>
    <f:field ref="UVEKCFG_15_1700_Adresszeile_10" par="" text=""/>
    <f:field ref="BAVCFG_15_1700_Adresse1" par="" edit="true" text=""/>
    <f:field ref="BAVCFG_15_1700_Firma" par="" text=""/>
    <f:field ref="BAVCFG_15_1700_ZustellungAm" par="" text=""/>
    <f:field ref="BAVCFG_15_1700_ForeignNumber" par="" text=""/>
    <f:field ref="BAVCFG_15_1700_AnredePartner" par="" edit="true" text=""/>
    <f:field ref="BAVCFG_15_1700_Anrede_Adresse" par="" edit="true" text=""/>
    <f:field ref="BAVCFG_15_1700_Zusatzzeile1" par="" edit="true" text=""/>
    <f:field ref="BAVCFG_15_1700_Zusatzzeile2" par="" edit="true" text=""/>
    <f:field ref="BAVCFG_15_1700_Strasse2" par="" edit="true" text=""/>
    <f:field ref="BAVCFG_15_1700_Firma_Kurz" par="" text=""/>
    <f:field ref="BAVCFG_15_1700_Posfach" par="" text=""/>
    <f:field ref="BAVCFG_15_1700_Vorname_AP" par="" text=""/>
    <f:field ref="BAVCFG_15_1700_Nachname_AP" par="" text=""/>
    <f:field ref="BAVCFG_15_1700_Adresse1_AP" par="" text=""/>
    <f:field ref="BAVCFG_15_1700_Strasse_AP" par="" text=""/>
    <f:field ref="BAVCFG_15_1700_Postleitzahl_AP" par="" text=""/>
    <f:field ref="BAVCFG_15_1700_Ort_AP" par="" text=""/>
    <f:field ref="BAVCFG_15_1700_EMail_AP" par="" text=""/>
    <f:field ref="BAVCFG_15_1700_Firma_AP" par="" text=""/>
    <f:field ref="BAVCFG_15_1700_AnredePartner_AP" par="" text=""/>
    <f:field ref="BAVCFG_15_1700_Titel_AP" par="" text=""/>
    <f:field ref="BAVCFG_15_1700_Fax_AP" par="" text=""/>
    <f:field ref="BAVCFG_15_1700_Anrede_Adresse_AP" par="" text=""/>
    <f:field ref="BAVCFG_15_1700_Zusatzzeile1_AP" par="" text=""/>
    <f:field ref="BAVCFG_15_1700_Zusatzzeile2_AP" par="" text=""/>
    <f:field ref="BAVCFG_15_1700_Strasse2_AP" par="" text=""/>
    <f:field ref="BAVCFG_15_1700_FirmaKurz_AP" par="" text=""/>
    <f:field ref="BAVCFG_15_1700_Posfach_AP" par="" text=""/>
  </f:record>
  <f:display par="" text="...">
    <f:field ref="FSCFOLIO_1_1001_FieldCurrentUser" text="Aktueller Benutzer"/>
    <f:field ref="objsubject" text="Betreff (einzeilig)"/>
    <f:field ref="objcreatedat" text="Erzeugt am/um"/>
    <f:field ref="objcreatedby" text="Erzeugt von"/>
    <f:field ref="objmodifiedat" text="Letzte Änderung am/um"/>
    <f:field ref="objchangedby" text="Letzte Änderung von"/>
    <f:field ref="objname" text="Name"/>
    <f:field ref="CCAPRECONFIG_15_1001_Objektname" text="Objektname"/>
    <f:field ref="CHPRECONFIG_1_1001_Objektname" text="Objektname"/>
  </f:display>
  <f:display par="" text="&gt; Adressat/innen">
    <f:field ref="UVEKCFG_15_1700_Personal" text=""/>
    <f:field ref="UVEKCFG_15_1700_Geschlecht" text=""/>
    <f:field ref="UVEKCFG_15_1700_GebDatum" text=""/>
    <f:field ref="UVEKCFG_15_1700_Beruf" text=""/>
    <f:field ref="UVEKCFG_15_1700_Familienstand" text=""/>
    <f:field ref="UVEKCFG_15_1700_Muttersprache" text=""/>
    <f:field ref="UVEKCFG_15_1700_Geboren_in" text=""/>
    <f:field ref="UVEKCFG_15_1700_Briefanrede" text=""/>
    <f:field ref="UVEKCFG_15_1700_Kommunikationssprache" text=""/>
    <f:field ref="UVEKCFG_15_1700_Webseite" text=""/>
    <f:field ref="UVEKCFG_15_1700_TelNr_Business" text=""/>
    <f:field ref="UVEKCFG_15_1700_TelNr_Private" text=""/>
    <f:field ref="UVEKCFG_15_1700_TelNr_Mobile" text=""/>
    <f:field ref="UVEKCFG_15_1700_TelNr_Other" text=""/>
    <f:field ref="UVEKCFG_15_1700_TelNr_Fax" text=""/>
    <f:field ref="UVEKCFG_15_1700_EMail1" text=""/>
    <f:field ref="UVEKCFG_15_1700_EMail2" text=""/>
    <f:field ref="UVEKCFG_15_1700_EMail3" text=""/>
    <f:field ref="UVEKCFG_15_1700_UID" text=""/>
    <f:field ref="UVEKCFG_15_1700_Klassifizierung" text=""/>
    <f:field ref="UVEKCFG_15_1700_Gruendungsjahr" text=""/>
    <f:field ref="UVEKCFG_15_1700_Versandart" text=""/>
    <f:field ref="UVEKCFG_15_1700_Versandvermek" text=""/>
    <f:field ref="UVEKCFG_15_1700_Kurzbezeichnung" text=""/>
    <f:field ref="UVEKCFG_15_1700_Strasse2" text=""/>
    <f:field ref="UVEKCFG_15_1700_Hausnummer_Zusatz" text=""/>
    <f:field ref="UVEKCFG_15_1700_Land" text=""/>
    <f:field ref="UVEKCFG_15_1700_Serienbrieffeld_1" text=""/>
    <f:field ref="UVEKCFG_15_1700_Serienbrieffeld_2" text=""/>
    <f:field ref="UVEKCFG_15_1700_Serienbrieffeld_3" text=""/>
    <f:field ref="UVEKCFG_15_1700_Serienbrieffeld_4" text=""/>
    <f:field ref="UVEKCFG_15_1700_Serienbrieffeld_5" text=""/>
    <f:field ref="UVEKCFG_15_1700_Adresszeile_1" text=""/>
    <f:field ref="UVEKCFG_15_1700_Adresszeile_2" text=""/>
    <f:field ref="UVEKCFG_15_1700_Adresszeile_3" text=""/>
    <f:field ref="UVEKCFG_15_1700_Adresszeile_4" text=""/>
    <f:field ref="UVEKCFG_15_1700_Adresszeile_5" text=""/>
    <f:field ref="UVEKCFG_15_1700_Adresszeile_6" text=""/>
    <f:field ref="UVEKCFG_15_1700_Adresszeile_7" text=""/>
    <f:field ref="UVEKCFG_15_1700_Adresszeile_8" text=""/>
    <f:field ref="UVEKCFG_15_1700_Adresszeile_9" text=""/>
    <f:field ref="UVEKCFG_15_1700_Adresszeile_10" text=""/>
    <f:field ref="BAVCFG_15_1700_AnredePartner" text=""/>
    <f:field ref="CCAPRECONFIG_15_1001_Abschriftsbemerkung" text="Abschriftsbemerkung"/>
    <f:field ref="CCAPRECONFIG_15_1001_Adresse" text="Adresse"/>
    <f:field ref="BAVCFG_15_1700_Adresse1" text="Adresse1"/>
    <f:field ref="BAVCFG_15_1700_Adresse1_AP" text="Adresse1_AP"/>
    <f:field ref="CCAPRECONFIG_15_1001_Anrede" text="Anrede"/>
    <f:field ref="CHPRECONFIG_1_1001_Anrede" text="Anrede"/>
    <f:field ref="BAVCFG_15_1700_Anrede_Adresse" text="Anrede Adresse"/>
    <f:field ref="BAVCFG_15_1700_Anrede_Adresse_AP" text="Anrede Adresse_AP"/>
    <f:field ref="CCAPRECONFIG_15_1001_Anrede_Briefkopf" text="Anrede_Briefkopf"/>
    <f:field ref="BAVCFG_15_1700_AnredePartner_AP" text="AnredePartner_AP"/>
    <f:field ref="CCAPRECONFIG_15_1001_Berufstitel" text="Berufstitel"/>
    <f:field ref="CHPRECONFIG_1_1001_EMailAdresse" text="E-Mail Adresse"/>
    <f:field ref="BAVCFG_15_1700_EMail_AP" text="E-Mail_AP"/>
    <f:field ref="CCAPRECONFIG_15_1001_Email" text="Email"/>
    <f:field ref="CCAPRECONFIG_15_1001_Fax" text="Fax"/>
    <f:field ref="BAVCFG_15_1700_Fax_AP" text="Fax_AP"/>
    <f:field ref="BAVCFG_15_1700_Firma" text="Firma"/>
    <f:field ref="BAVCFG_15_1700_Firma_Kurz" text="Firma Kurz"/>
    <f:field ref="BAVCFG_15_1700_FirmaKurz_AP" text="Firma Kurz_AP"/>
    <f:field ref="BAVCFG_15_1700_Firma_AP" text="Firma_AP"/>
    <f:field ref="CCAPRECONFIG_15_1001_Firmenbuchnummer" text="Firmenbuchnummer"/>
    <f:field ref="BAVCFG_15_1700_ForeignNumber" text="Fremdaktenzeichen"/>
    <f:field ref="CCAPRECONFIG_15_1001_Funktionsbezeichnung" text="Funktionsbezeichnung"/>
    <f:field ref="CCAPRECONFIG_15_1001_Geburtsdatum" text="Geburtsdatum"/>
    <f:field ref="CCAPRECONFIG_15_1001_Geschlecht" text="Geschlecht"/>
    <f:field ref="CCAPRECONFIG_15_1001_Geschlecht_Anrede" text="Geschlecht_Anrede"/>
    <f:field ref="CCAPRECONFIG_15_1001_Hausnummer" text="Hausnummer"/>
    <f:field ref="CCAPRECONFIG_15_1001_Kategorie" text="Kategorie"/>
    <f:field ref="CCAPRECONFIG_15_1001_Land" text="Land"/>
    <f:field ref="CCAPRECONFIG_15_1001_Nachgestellter_Titel" text="Nachgestellter_Titel"/>
    <f:field ref="CCAPRECONFIG_15_1001_Nachname" text="Nachname"/>
    <f:field ref="CHPRECONFIG_1_1001_Nachname" text="Nachname"/>
    <f:field ref="BAVCFG_15_1700_Nachname_AP" text="Nachname_AP"/>
    <f:field ref="CCAPRECONFIG_15_1001_Name_Zeile_2" text="Name_Zeile_2"/>
    <f:field ref="CCAPRECONFIG_15_1001_Name_Zeile_3" text="Name_Zeile_3"/>
    <f:field ref="CCAPRECONFIG_15_1001_Organisationskurzname" text="Organisationskurzname"/>
    <f:field ref="CCAPRECONFIG_15_1001_Organisationsname" text="Organisationsname"/>
    <f:field ref="CCAPRECONFIG_15_1001_Ort" text="Ort"/>
    <f:field ref="CHPRECONFIG_1_1001_Ort" text="Ort"/>
    <f:field ref="BAVCFG_15_1700_Ort_AP" text="Ort_AP"/>
    <f:field ref="BAVCFG_15_1700_Posfach" text="Posfach"/>
    <f:field ref="BAVCFG_15_1700_Posfach_AP" text="Posfach_AP"/>
    <f:field ref="CCAPRECONFIG_15_1001_Postalische_Adresse" text="Postalische_Adresse"/>
    <f:field ref="CCAPRECONFIG_15_1001_Postfach" text="Postfach"/>
    <f:field ref="CCAPRECONFIG_15_1001_Postleitzahl" text="Postleitzahl"/>
    <f:field ref="CHPRECONFIG_1_1001_Postleitzahl" text="Postleitzahl"/>
    <f:field ref="BAVCFG_15_1700_Postleitzahl_AP" text="Postleitzahl_AP"/>
    <f:field ref="CCAPRECONFIG_15_1001_Rechtsform" text="Rechtsform"/>
    <f:field ref="CCAPRECONFIG_15_1001_Sozialversicherungsnummer" text="Sozialversicherungsnummer"/>
    <f:field ref="CCAPRECONFIG_15_1001_Stiege" text="Stiege"/>
    <f:field ref="CCAPRECONFIG_15_1001_Stock" text="Stock"/>
    <f:field ref="CCAPRECONFIG_15_1001_Strasse" text="Strasse"/>
    <f:field ref="CHPRECONFIG_1_1001_Strasse" text="Strasse"/>
    <f:field ref="BAVCFG_15_1700_Strasse2" text="Strasse2"/>
    <f:field ref="BAVCFG_15_1700_Strasse2_AP" text="Strasse2_AP"/>
    <f:field ref="BAVCFG_15_1700_Strasse_AP" text="Strasse_AP"/>
    <f:field ref="CCAPRECONFIG_15_1001_Telefon" text="Telefon"/>
    <f:field ref="CCAPRECONFIG_15_1001_Titel" text="Titel"/>
    <f:field ref="CHPRECONFIG_1_1001_Titel" text="Titel"/>
    <f:field ref="BAVCFG_15_1700_Titel_AP" text="Titel_AP"/>
    <f:field ref="CCAPRECONFIG_15_1001_Tuer" text="Tuer"/>
    <f:field ref="CCAPRECONFIG_15_1001_Versandart" text="Versandart"/>
    <f:field ref="CHPRECONFIG_1_1001_Vorname" text="Vorname"/>
    <f:field ref="CCAPRECONFIG_15_1001_Vorname" text="Vorname"/>
    <f:field ref="BAVCFG_15_1700_Vorname_AP" text="Vorname_AP"/>
    <f:field ref="CCAPRECONFIG_15_1001_zH" text="zH"/>
    <f:field ref="CCAPRECONFIG_15_1001_Ziel" text="Ziel"/>
    <f:field ref="BAVCFG_15_1700_Zusatzzeile1" text="Zusatzzeile1"/>
    <f:field ref="BAVCFG_15_1700_Zusatzzeile1_AP" text="Zusatzzeile1_AP"/>
    <f:field ref="BAVCFG_15_1700_Zusatzzeile2" text="Zusatzzeile2"/>
    <f:field ref="BAVCFG_15_1700_Zusatzzeile2_AP" text="Zusatzzeile2_AP"/>
    <f:field ref="BAVCFG_15_1700_ZustellungAm" text="ZustellungAm"/>
  </f:display>
  <f:display par="" text="Serienbrief">
    <f:field ref="doc_FSCFOLIO_1_1001_FieldSubject" text="Betreff"/>
    <f:field ref="doc_FSCFOLIO_1_1001_FieldDocumentNumber" text="Dokument Nummer"/>
  </f:display>
</f:fields>
</file>

<file path=customXml/itemProps1.xml><?xml version="1.0" encoding="utf-8"?>
<ds:datastoreItem xmlns:ds="http://schemas.openxmlformats.org/officeDocument/2006/customXml" ds:itemID="{4E8A9591-F074-446B-902F-511FF79C122F}">
  <ds:schemaRefs>
    <ds:schemaRef ds:uri="http://schemas.fabasoft.com/folio/2007/field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29</vt:i4>
      </vt:variant>
    </vt:vector>
  </HeadingPairs>
  <TitlesOfParts>
    <vt:vector size="36" baseType="lpstr">
      <vt:lpstr>Projektleitfaden</vt:lpstr>
      <vt:lpstr>HERMES Ergebnisse BFE Projekte</vt:lpstr>
      <vt:lpstr>BFE Beispiele</vt:lpstr>
      <vt:lpstr>Projektstruktur- und Prüfplan</vt:lpstr>
      <vt:lpstr>Mein Projekt</vt:lpstr>
      <vt:lpstr>Checkliste</vt:lpstr>
      <vt:lpstr>Hilfstabelle</vt:lpstr>
      <vt:lpstr>Anwendungshandbuch</vt:lpstr>
      <vt:lpstr>Architektur</vt:lpstr>
      <vt:lpstr>Architekturkonformität</vt:lpstr>
      <vt:lpstr>Beschaffungsformular</vt:lpstr>
      <vt:lpstr>Betriebsaktivierung</vt:lpstr>
      <vt:lpstr>Betriebsinfrastruktur</vt:lpstr>
      <vt:lpstr>Betriebskonzept</vt:lpstr>
      <vt:lpstr>Detailstudie</vt:lpstr>
      <vt:lpstr>Einführungskonzept</vt:lpstr>
      <vt:lpstr>Geschäftsorganisation</vt:lpstr>
      <vt:lpstr>Initialisierung</vt:lpstr>
      <vt:lpstr>ISDS</vt:lpstr>
      <vt:lpstr>JaNein</vt:lpstr>
      <vt:lpstr>Lastenheft</vt:lpstr>
      <vt:lpstr>Migrationskonzept</vt:lpstr>
      <vt:lpstr>Projekt</vt:lpstr>
      <vt:lpstr>Projektauftrag</vt:lpstr>
      <vt:lpstr>Projektinitialisierungsauftrag</vt:lpstr>
      <vt:lpstr>Projektmanagementplan</vt:lpstr>
      <vt:lpstr>Projektschlussbeurteilung</vt:lpstr>
      <vt:lpstr>Projektstruktruplan</vt:lpstr>
      <vt:lpstr>Rechtsgrundlagenanalyse</vt:lpstr>
      <vt:lpstr>Schuban</vt:lpstr>
      <vt:lpstr>Situationsanalyse</vt:lpstr>
      <vt:lpstr>Studie</vt:lpstr>
      <vt:lpstr>Systemanforderungen</vt:lpstr>
      <vt:lpstr>Systemarchitektur</vt:lpstr>
      <vt:lpstr>Testkonzept</vt:lpstr>
      <vt:lpstr>Vorhabenportfolio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Kaenel Urs BFE</dc:creator>
  <cp:lastModifiedBy>Urs Kaenel</cp:lastModifiedBy>
  <cp:lastPrinted>2016-05-04T11:12:11Z</cp:lastPrinted>
  <dcterms:created xsi:type="dcterms:W3CDTF">2016-05-04T11:06:16Z</dcterms:created>
  <dcterms:modified xsi:type="dcterms:W3CDTF">2020-11-13T11:09:56Z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SC#UVEKCFG@15.1700:Function">
    <vt:lpwstr/>
  </property>
  <property fmtid="{D5CDD505-2E9C-101B-9397-08002B2CF9AE}" pid="3" name="FSC#UVEKCFG@15.1700:FileRespOrg">
    <vt:lpwstr>Sektion Informatik</vt:lpwstr>
  </property>
  <property fmtid="{D5CDD505-2E9C-101B-9397-08002B2CF9AE}" pid="4" name="FSC#UVEKCFG@15.1700:DefaultGroupFileResponsible">
    <vt:lpwstr/>
  </property>
  <property fmtid="{D5CDD505-2E9C-101B-9397-08002B2CF9AE}" pid="5" name="FSC#UVEKCFG@15.1700:FileRespFunction">
    <vt:lpwstr/>
  </property>
  <property fmtid="{D5CDD505-2E9C-101B-9397-08002B2CF9AE}" pid="6" name="FSC#UVEKCFG@15.1700:AssignedClassification">
    <vt:lpwstr/>
  </property>
  <property fmtid="{D5CDD505-2E9C-101B-9397-08002B2CF9AE}" pid="7" name="FSC#UVEKCFG@15.1700:AssignedClassificationCode">
    <vt:lpwstr>COO.1.1001.1.137854</vt:lpwstr>
  </property>
  <property fmtid="{D5CDD505-2E9C-101B-9397-08002B2CF9AE}" pid="8" name="FSC#UVEKCFG@15.1700:FileResponsible">
    <vt:lpwstr/>
  </property>
  <property fmtid="{D5CDD505-2E9C-101B-9397-08002B2CF9AE}" pid="9" name="FSC#UVEKCFG@15.1700:FileResponsibleTel">
    <vt:lpwstr/>
  </property>
  <property fmtid="{D5CDD505-2E9C-101B-9397-08002B2CF9AE}" pid="10" name="FSC#UVEKCFG@15.1700:FileResponsibleEmail">
    <vt:lpwstr/>
  </property>
  <property fmtid="{D5CDD505-2E9C-101B-9397-08002B2CF9AE}" pid="11" name="FSC#UVEKCFG@15.1700:FileResponsibleFax">
    <vt:lpwstr/>
  </property>
  <property fmtid="{D5CDD505-2E9C-101B-9397-08002B2CF9AE}" pid="12" name="FSC#UVEKCFG@15.1700:FileResponsibleAddress">
    <vt:lpwstr/>
  </property>
  <property fmtid="{D5CDD505-2E9C-101B-9397-08002B2CF9AE}" pid="13" name="FSC#UVEKCFG@15.1700:FileResponsibleStreet">
    <vt:lpwstr/>
  </property>
  <property fmtid="{D5CDD505-2E9C-101B-9397-08002B2CF9AE}" pid="14" name="FSC#UVEKCFG@15.1700:FileResponsiblezipcode">
    <vt:lpwstr/>
  </property>
  <property fmtid="{D5CDD505-2E9C-101B-9397-08002B2CF9AE}" pid="15" name="FSC#UVEKCFG@15.1700:FileResponsiblecity">
    <vt:lpwstr/>
  </property>
  <property fmtid="{D5CDD505-2E9C-101B-9397-08002B2CF9AE}" pid="16" name="FSC#UVEKCFG@15.1700:FileResponsibleAbbreviation">
    <vt:lpwstr/>
  </property>
  <property fmtid="{D5CDD505-2E9C-101B-9397-08002B2CF9AE}" pid="17" name="FSC#UVEKCFG@15.1700:FileRespOrgHome">
    <vt:lpwstr>Mühlestrasse 4, 3003 Bern</vt:lpwstr>
  </property>
  <property fmtid="{D5CDD505-2E9C-101B-9397-08002B2CF9AE}" pid="18" name="FSC#UVEKCFG@15.1700:CurrUserAbbreviation">
    <vt:lpwstr>kau</vt:lpwstr>
  </property>
  <property fmtid="{D5CDD505-2E9C-101B-9397-08002B2CF9AE}" pid="19" name="FSC#UVEKCFG@15.1700:CategoryReference">
    <vt:lpwstr>136.2</vt:lpwstr>
  </property>
  <property fmtid="{D5CDD505-2E9C-101B-9397-08002B2CF9AE}" pid="20" name="FSC#UVEKCFG@15.1700:cooAddress">
    <vt:lpwstr>COO.2207.110.3.1822332</vt:lpwstr>
  </property>
  <property fmtid="{D5CDD505-2E9C-101B-9397-08002B2CF9AE}" pid="21" name="FSC#UVEKCFG@15.1700:sleeveFileReference">
    <vt:lpwstr/>
  </property>
  <property fmtid="{D5CDD505-2E9C-101B-9397-08002B2CF9AE}" pid="22" name="FSC#UVEKCFG@15.1700:BureauName">
    <vt:lpwstr/>
  </property>
  <property fmtid="{D5CDD505-2E9C-101B-9397-08002B2CF9AE}" pid="23" name="FSC#UVEKCFG@15.1700:BureauShortName">
    <vt:lpwstr>BFE</vt:lpwstr>
  </property>
  <property fmtid="{D5CDD505-2E9C-101B-9397-08002B2CF9AE}" pid="24" name="FSC#UVEKCFG@15.1700:BureauWebsite">
    <vt:lpwstr/>
  </property>
  <property fmtid="{D5CDD505-2E9C-101B-9397-08002B2CF9AE}" pid="25" name="FSC#UVEKCFG@15.1700:SubFileTitle">
    <vt:lpwstr>Projektstrukturplan DIMaaS</vt:lpwstr>
  </property>
  <property fmtid="{D5CDD505-2E9C-101B-9397-08002B2CF9AE}" pid="26" name="FSC#UVEKCFG@15.1700:ForeignNumber">
    <vt:lpwstr/>
  </property>
  <property fmtid="{D5CDD505-2E9C-101B-9397-08002B2CF9AE}" pid="27" name="FSC#UVEKCFG@15.1700:Amtstitel">
    <vt:lpwstr/>
  </property>
  <property fmtid="{D5CDD505-2E9C-101B-9397-08002B2CF9AE}" pid="28" name="FSC#UVEKCFG@15.1700:ZusendungAm">
    <vt:lpwstr/>
  </property>
  <property fmtid="{D5CDD505-2E9C-101B-9397-08002B2CF9AE}" pid="29" name="FSC#UVEKCFG@15.1700:SignerLeft">
    <vt:lpwstr/>
  </property>
  <property fmtid="{D5CDD505-2E9C-101B-9397-08002B2CF9AE}" pid="30" name="FSC#UVEKCFG@15.1700:SignerRight">
    <vt:lpwstr/>
  </property>
  <property fmtid="{D5CDD505-2E9C-101B-9397-08002B2CF9AE}" pid="31" name="FSC#UVEKCFG@15.1700:SignerLeftJobTitle">
    <vt:lpwstr/>
  </property>
  <property fmtid="{D5CDD505-2E9C-101B-9397-08002B2CF9AE}" pid="32" name="FSC#UVEKCFG@15.1700:SignerRightJobTitle">
    <vt:lpwstr/>
  </property>
  <property fmtid="{D5CDD505-2E9C-101B-9397-08002B2CF9AE}" pid="33" name="FSC#UVEKCFG@15.1700:SignerLeftFunction">
    <vt:lpwstr/>
  </property>
  <property fmtid="{D5CDD505-2E9C-101B-9397-08002B2CF9AE}" pid="34" name="FSC#UVEKCFG@15.1700:SignerRightFunction">
    <vt:lpwstr/>
  </property>
  <property fmtid="{D5CDD505-2E9C-101B-9397-08002B2CF9AE}" pid="35" name="FSC#UVEKCFG@15.1700:SignerLeftUserRoleGroup">
    <vt:lpwstr/>
  </property>
  <property fmtid="{D5CDD505-2E9C-101B-9397-08002B2CF9AE}" pid="36" name="FSC#UVEKCFG@15.1700:SignerRightUserRoleGroup">
    <vt:lpwstr/>
  </property>
  <property fmtid="{D5CDD505-2E9C-101B-9397-08002B2CF9AE}" pid="37" name="FSC#UVEKCFG@15.1700:DocumentNumber">
    <vt:lpwstr>2019-06-13-0086</vt:lpwstr>
  </property>
  <property fmtid="{D5CDD505-2E9C-101B-9397-08002B2CF9AE}" pid="38" name="FSC#UVEKCFG@15.1700:AssignmentNumber">
    <vt:lpwstr/>
  </property>
  <property fmtid="{D5CDD505-2E9C-101B-9397-08002B2CF9AE}" pid="39" name="FSC#UVEKCFG@15.1700:EM_Personal">
    <vt:lpwstr/>
  </property>
  <property fmtid="{D5CDD505-2E9C-101B-9397-08002B2CF9AE}" pid="40" name="FSC#UVEKCFG@15.1700:EM_Geschlecht">
    <vt:lpwstr/>
  </property>
  <property fmtid="{D5CDD505-2E9C-101B-9397-08002B2CF9AE}" pid="41" name="FSC#UVEKCFG@15.1700:EM_GebDatum">
    <vt:lpwstr/>
  </property>
  <property fmtid="{D5CDD505-2E9C-101B-9397-08002B2CF9AE}" pid="42" name="FSC#UVEKCFG@15.1700:EM_Funktion">
    <vt:lpwstr/>
  </property>
  <property fmtid="{D5CDD505-2E9C-101B-9397-08002B2CF9AE}" pid="43" name="FSC#UVEKCFG@15.1700:EM_Beruf">
    <vt:lpwstr/>
  </property>
  <property fmtid="{D5CDD505-2E9C-101B-9397-08002B2CF9AE}" pid="44" name="FSC#UVEKCFG@15.1700:EM_SVNR">
    <vt:lpwstr/>
  </property>
  <property fmtid="{D5CDD505-2E9C-101B-9397-08002B2CF9AE}" pid="45" name="FSC#UVEKCFG@15.1700:EM_Familienstand">
    <vt:lpwstr/>
  </property>
  <property fmtid="{D5CDD505-2E9C-101B-9397-08002B2CF9AE}" pid="46" name="FSC#UVEKCFG@15.1700:EM_Muttersprache">
    <vt:lpwstr/>
  </property>
  <property fmtid="{D5CDD505-2E9C-101B-9397-08002B2CF9AE}" pid="47" name="FSC#UVEKCFG@15.1700:EM_Geboren_in">
    <vt:lpwstr/>
  </property>
  <property fmtid="{D5CDD505-2E9C-101B-9397-08002B2CF9AE}" pid="48" name="FSC#UVEKCFG@15.1700:EM_Briefanrede">
    <vt:lpwstr/>
  </property>
  <property fmtid="{D5CDD505-2E9C-101B-9397-08002B2CF9AE}" pid="49" name="FSC#UVEKCFG@15.1700:EM_Kommunikationssprache">
    <vt:lpwstr/>
  </property>
  <property fmtid="{D5CDD505-2E9C-101B-9397-08002B2CF9AE}" pid="50" name="FSC#UVEKCFG@15.1700:EM_Webseite">
    <vt:lpwstr/>
  </property>
  <property fmtid="{D5CDD505-2E9C-101B-9397-08002B2CF9AE}" pid="51" name="FSC#UVEKCFG@15.1700:EM_TelNr_Business">
    <vt:lpwstr/>
  </property>
  <property fmtid="{D5CDD505-2E9C-101B-9397-08002B2CF9AE}" pid="52" name="FSC#UVEKCFG@15.1700:EM_TelNr_Private">
    <vt:lpwstr/>
  </property>
  <property fmtid="{D5CDD505-2E9C-101B-9397-08002B2CF9AE}" pid="53" name="FSC#UVEKCFG@15.1700:EM_TelNr_Mobile">
    <vt:lpwstr/>
  </property>
  <property fmtid="{D5CDD505-2E9C-101B-9397-08002B2CF9AE}" pid="54" name="FSC#UVEKCFG@15.1700:EM_TelNr_Other">
    <vt:lpwstr/>
  </property>
  <property fmtid="{D5CDD505-2E9C-101B-9397-08002B2CF9AE}" pid="55" name="FSC#UVEKCFG@15.1700:EM_TelNr_Fax">
    <vt:lpwstr/>
  </property>
  <property fmtid="{D5CDD505-2E9C-101B-9397-08002B2CF9AE}" pid="56" name="FSC#UVEKCFG@15.1700:EM_EMail1">
    <vt:lpwstr/>
  </property>
  <property fmtid="{D5CDD505-2E9C-101B-9397-08002B2CF9AE}" pid="57" name="FSC#UVEKCFG@15.1700:EM_EMail2">
    <vt:lpwstr/>
  </property>
  <property fmtid="{D5CDD505-2E9C-101B-9397-08002B2CF9AE}" pid="58" name="FSC#UVEKCFG@15.1700:EM_EMail3">
    <vt:lpwstr/>
  </property>
  <property fmtid="{D5CDD505-2E9C-101B-9397-08002B2CF9AE}" pid="59" name="FSC#UVEKCFG@15.1700:EM_Name">
    <vt:lpwstr/>
  </property>
  <property fmtid="{D5CDD505-2E9C-101B-9397-08002B2CF9AE}" pid="60" name="FSC#UVEKCFG@15.1700:EM_UID">
    <vt:lpwstr/>
  </property>
  <property fmtid="{D5CDD505-2E9C-101B-9397-08002B2CF9AE}" pid="61" name="FSC#UVEKCFG@15.1700:EM_Rechtsform">
    <vt:lpwstr/>
  </property>
  <property fmtid="{D5CDD505-2E9C-101B-9397-08002B2CF9AE}" pid="62" name="FSC#UVEKCFG@15.1700:EM_Klassifizierung">
    <vt:lpwstr/>
  </property>
  <property fmtid="{D5CDD505-2E9C-101B-9397-08002B2CF9AE}" pid="63" name="FSC#UVEKCFG@15.1700:EM_Gruendungsjahr">
    <vt:lpwstr/>
  </property>
  <property fmtid="{D5CDD505-2E9C-101B-9397-08002B2CF9AE}" pid="64" name="FSC#UVEKCFG@15.1700:EM_Versandart">
    <vt:lpwstr>B-Post</vt:lpwstr>
  </property>
  <property fmtid="{D5CDD505-2E9C-101B-9397-08002B2CF9AE}" pid="65" name="FSC#UVEKCFG@15.1700:EM_Versandvermek">
    <vt:lpwstr/>
  </property>
  <property fmtid="{D5CDD505-2E9C-101B-9397-08002B2CF9AE}" pid="66" name="FSC#UVEKCFG@15.1700:EM_Anrede">
    <vt:lpwstr/>
  </property>
  <property fmtid="{D5CDD505-2E9C-101B-9397-08002B2CF9AE}" pid="67" name="FSC#UVEKCFG@15.1700:EM_Titel">
    <vt:lpwstr/>
  </property>
  <property fmtid="{D5CDD505-2E9C-101B-9397-08002B2CF9AE}" pid="68" name="FSC#UVEKCFG@15.1700:EM_Nachgestellter_Titel">
    <vt:lpwstr/>
  </property>
  <property fmtid="{D5CDD505-2E9C-101B-9397-08002B2CF9AE}" pid="69" name="FSC#UVEKCFG@15.1700:EM_Vorname">
    <vt:lpwstr/>
  </property>
  <property fmtid="{D5CDD505-2E9C-101B-9397-08002B2CF9AE}" pid="70" name="FSC#UVEKCFG@15.1700:EM_Nachname">
    <vt:lpwstr/>
  </property>
  <property fmtid="{D5CDD505-2E9C-101B-9397-08002B2CF9AE}" pid="71" name="FSC#UVEKCFG@15.1700:EM_Kurzbezeichnung">
    <vt:lpwstr/>
  </property>
  <property fmtid="{D5CDD505-2E9C-101B-9397-08002B2CF9AE}" pid="72" name="FSC#UVEKCFG@15.1700:EM_Organisations_Zeile_1">
    <vt:lpwstr/>
  </property>
  <property fmtid="{D5CDD505-2E9C-101B-9397-08002B2CF9AE}" pid="73" name="FSC#UVEKCFG@15.1700:EM_Organisations_Zeile_2">
    <vt:lpwstr/>
  </property>
  <property fmtid="{D5CDD505-2E9C-101B-9397-08002B2CF9AE}" pid="74" name="FSC#UVEKCFG@15.1700:EM_Organisations_Zeile_3">
    <vt:lpwstr/>
  </property>
  <property fmtid="{D5CDD505-2E9C-101B-9397-08002B2CF9AE}" pid="75" name="FSC#UVEKCFG@15.1700:EM_Strasse">
    <vt:lpwstr/>
  </property>
  <property fmtid="{D5CDD505-2E9C-101B-9397-08002B2CF9AE}" pid="76" name="FSC#UVEKCFG@15.1700:EM_Hausnummer">
    <vt:lpwstr/>
  </property>
  <property fmtid="{D5CDD505-2E9C-101B-9397-08002B2CF9AE}" pid="77" name="FSC#UVEKCFG@15.1700:EM_Strasse2">
    <vt:lpwstr/>
  </property>
  <property fmtid="{D5CDD505-2E9C-101B-9397-08002B2CF9AE}" pid="78" name="FSC#UVEKCFG@15.1700:EM_Hausnummer_Zusatz">
    <vt:lpwstr/>
  </property>
  <property fmtid="{D5CDD505-2E9C-101B-9397-08002B2CF9AE}" pid="79" name="FSC#UVEKCFG@15.1700:EM_Postfach">
    <vt:lpwstr/>
  </property>
  <property fmtid="{D5CDD505-2E9C-101B-9397-08002B2CF9AE}" pid="80" name="FSC#UVEKCFG@15.1700:EM_PLZ">
    <vt:lpwstr/>
  </property>
  <property fmtid="{D5CDD505-2E9C-101B-9397-08002B2CF9AE}" pid="81" name="FSC#UVEKCFG@15.1700:EM_Ort">
    <vt:lpwstr/>
  </property>
  <property fmtid="{D5CDD505-2E9C-101B-9397-08002B2CF9AE}" pid="82" name="FSC#UVEKCFG@15.1700:EM_Land">
    <vt:lpwstr/>
  </property>
  <property fmtid="{D5CDD505-2E9C-101B-9397-08002B2CF9AE}" pid="83" name="FSC#UVEKCFG@15.1700:EM_E_Mail_Adresse">
    <vt:lpwstr/>
  </property>
  <property fmtid="{D5CDD505-2E9C-101B-9397-08002B2CF9AE}" pid="84" name="FSC#UVEKCFG@15.1700:EM_Funktionsbezeichnung">
    <vt:lpwstr/>
  </property>
  <property fmtid="{D5CDD505-2E9C-101B-9397-08002B2CF9AE}" pid="85" name="FSC#UVEKCFG@15.1700:EM_Serienbrieffeld_1">
    <vt:lpwstr/>
  </property>
  <property fmtid="{D5CDD505-2E9C-101B-9397-08002B2CF9AE}" pid="86" name="FSC#UVEKCFG@15.1700:EM_Serienbrieffeld_2">
    <vt:lpwstr/>
  </property>
  <property fmtid="{D5CDD505-2E9C-101B-9397-08002B2CF9AE}" pid="87" name="FSC#UVEKCFG@15.1700:EM_Serienbrieffeld_3">
    <vt:lpwstr/>
  </property>
  <property fmtid="{D5CDD505-2E9C-101B-9397-08002B2CF9AE}" pid="88" name="FSC#UVEKCFG@15.1700:EM_Serienbrieffeld_4">
    <vt:lpwstr/>
  </property>
  <property fmtid="{D5CDD505-2E9C-101B-9397-08002B2CF9AE}" pid="89" name="FSC#UVEKCFG@15.1700:EM_Serienbrieffeld_5">
    <vt:lpwstr/>
  </property>
  <property fmtid="{D5CDD505-2E9C-101B-9397-08002B2CF9AE}" pid="90" name="FSC#UVEKCFG@15.1700:EM_Address">
    <vt:lpwstr/>
  </property>
  <property fmtid="{D5CDD505-2E9C-101B-9397-08002B2CF9AE}" pid="91" name="FSC#UVEKCFG@15.1700:Abs_Nachname">
    <vt:lpwstr/>
  </property>
  <property fmtid="{D5CDD505-2E9C-101B-9397-08002B2CF9AE}" pid="92" name="FSC#UVEKCFG@15.1700:Abs_Vorname">
    <vt:lpwstr/>
  </property>
  <property fmtid="{D5CDD505-2E9C-101B-9397-08002B2CF9AE}" pid="93" name="FSC#UVEKCFG@15.1700:Abs_Zeichen">
    <vt:lpwstr/>
  </property>
  <property fmtid="{D5CDD505-2E9C-101B-9397-08002B2CF9AE}" pid="94" name="FSC#UVEKCFG@15.1700:Anrede">
    <vt:lpwstr/>
  </property>
  <property fmtid="{D5CDD505-2E9C-101B-9397-08002B2CF9AE}" pid="95" name="FSC#UVEKCFG@15.1700:EM_Versandartspez">
    <vt:lpwstr/>
  </property>
  <property fmtid="{D5CDD505-2E9C-101B-9397-08002B2CF9AE}" pid="96" name="FSC#UVEKCFG@15.1700:Briefdatum">
    <vt:lpwstr>18.06.2019</vt:lpwstr>
  </property>
  <property fmtid="{D5CDD505-2E9C-101B-9397-08002B2CF9AE}" pid="97" name="FSC#UVEKCFG@15.1700:Empf_Zeichen">
    <vt:lpwstr/>
  </property>
  <property fmtid="{D5CDD505-2E9C-101B-9397-08002B2CF9AE}" pid="98" name="FSC#UVEKCFG@15.1700:FilialePLZ">
    <vt:lpwstr/>
  </property>
  <property fmtid="{D5CDD505-2E9C-101B-9397-08002B2CF9AE}" pid="99" name="FSC#UVEKCFG@15.1700:Gegenstand">
    <vt:lpwstr>Projektstrukturplan DIMaaS</vt:lpwstr>
  </property>
  <property fmtid="{D5CDD505-2E9C-101B-9397-08002B2CF9AE}" pid="100" name="FSC#UVEKCFG@15.1700:Nummer">
    <vt:lpwstr>2019-06-13-0086</vt:lpwstr>
  </property>
  <property fmtid="{D5CDD505-2E9C-101B-9397-08002B2CF9AE}" pid="101" name="FSC#UVEKCFG@15.1700:Unterschrift_Nachname">
    <vt:lpwstr/>
  </property>
  <property fmtid="{D5CDD505-2E9C-101B-9397-08002B2CF9AE}" pid="102" name="FSC#UVEKCFG@15.1700:Unterschrift_Vorname">
    <vt:lpwstr/>
  </property>
  <property fmtid="{D5CDD505-2E9C-101B-9397-08002B2CF9AE}" pid="103" name="FSC#UVEKCFG@15.1700:FileResponsibleStreetPostal">
    <vt:lpwstr/>
  </property>
  <property fmtid="{D5CDD505-2E9C-101B-9397-08002B2CF9AE}" pid="104" name="FSC#UVEKCFG@15.1700:FileResponsiblezipcodePostal">
    <vt:lpwstr/>
  </property>
  <property fmtid="{D5CDD505-2E9C-101B-9397-08002B2CF9AE}" pid="105" name="FSC#UVEKCFG@15.1700:FileResponsiblecityPostal">
    <vt:lpwstr/>
  </property>
  <property fmtid="{D5CDD505-2E9C-101B-9397-08002B2CF9AE}" pid="106" name="FSC#UVEKCFG@15.1700:FileResponsibleStreetInvoice">
    <vt:lpwstr/>
  </property>
  <property fmtid="{D5CDD505-2E9C-101B-9397-08002B2CF9AE}" pid="107" name="FSC#UVEKCFG@15.1700:FileResponsiblezipcodeInvoice">
    <vt:lpwstr/>
  </property>
  <property fmtid="{D5CDD505-2E9C-101B-9397-08002B2CF9AE}" pid="108" name="FSC#UVEKCFG@15.1700:FileResponsiblecityInvoice">
    <vt:lpwstr/>
  </property>
  <property fmtid="{D5CDD505-2E9C-101B-9397-08002B2CF9AE}" pid="109" name="FSC#UVEKCFG@15.1700:ResponsibleDefaultRoleOrg">
    <vt:lpwstr/>
  </property>
  <property fmtid="{D5CDD505-2E9C-101B-9397-08002B2CF9AE}" pid="110" name="FSC#UVEKCFG@15.1700:SL_HStufe1">
    <vt:lpwstr/>
  </property>
  <property fmtid="{D5CDD505-2E9C-101B-9397-08002B2CF9AE}" pid="111" name="FSC#UVEKCFG@15.1700:SL_FStufe1">
    <vt:lpwstr/>
  </property>
  <property fmtid="{D5CDD505-2E9C-101B-9397-08002B2CF9AE}" pid="112" name="FSC#UVEKCFG@15.1700:SL_HStufe2">
    <vt:lpwstr/>
  </property>
  <property fmtid="{D5CDD505-2E9C-101B-9397-08002B2CF9AE}" pid="113" name="FSC#UVEKCFG@15.1700:SL_FStufe2">
    <vt:lpwstr/>
  </property>
  <property fmtid="{D5CDD505-2E9C-101B-9397-08002B2CF9AE}" pid="114" name="FSC#UVEKCFG@15.1700:SL_HStufe3">
    <vt:lpwstr/>
  </property>
  <property fmtid="{D5CDD505-2E9C-101B-9397-08002B2CF9AE}" pid="115" name="FSC#UVEKCFG@15.1700:SL_FStufe3">
    <vt:lpwstr/>
  </property>
  <property fmtid="{D5CDD505-2E9C-101B-9397-08002B2CF9AE}" pid="116" name="FSC#UVEKCFG@15.1700:SL_HStufe4">
    <vt:lpwstr/>
  </property>
  <property fmtid="{D5CDD505-2E9C-101B-9397-08002B2CF9AE}" pid="117" name="FSC#UVEKCFG@15.1700:SL_FStufe4">
    <vt:lpwstr/>
  </property>
  <property fmtid="{D5CDD505-2E9C-101B-9397-08002B2CF9AE}" pid="118" name="FSC#UVEKCFG@15.1700:SR_HStufe1">
    <vt:lpwstr/>
  </property>
  <property fmtid="{D5CDD505-2E9C-101B-9397-08002B2CF9AE}" pid="119" name="FSC#UVEKCFG@15.1700:SR_FStufe1">
    <vt:lpwstr/>
  </property>
  <property fmtid="{D5CDD505-2E9C-101B-9397-08002B2CF9AE}" pid="120" name="FSC#UVEKCFG@15.1700:SR_HStufe2">
    <vt:lpwstr/>
  </property>
  <property fmtid="{D5CDD505-2E9C-101B-9397-08002B2CF9AE}" pid="121" name="FSC#UVEKCFG@15.1700:SR_FStufe2">
    <vt:lpwstr/>
  </property>
  <property fmtid="{D5CDD505-2E9C-101B-9397-08002B2CF9AE}" pid="122" name="FSC#UVEKCFG@15.1700:SR_HStufe3">
    <vt:lpwstr/>
  </property>
  <property fmtid="{D5CDD505-2E9C-101B-9397-08002B2CF9AE}" pid="123" name="FSC#UVEKCFG@15.1700:SR_FStufe3">
    <vt:lpwstr/>
  </property>
  <property fmtid="{D5CDD505-2E9C-101B-9397-08002B2CF9AE}" pid="124" name="FSC#UVEKCFG@15.1700:SR_HStufe4">
    <vt:lpwstr/>
  </property>
  <property fmtid="{D5CDD505-2E9C-101B-9397-08002B2CF9AE}" pid="125" name="FSC#UVEKCFG@15.1700:SR_FStufe4">
    <vt:lpwstr/>
  </property>
  <property fmtid="{D5CDD505-2E9C-101B-9397-08002B2CF9AE}" pid="126" name="FSC#UVEKCFG@15.1700:FileResp_HStufe1">
    <vt:lpwstr/>
  </property>
  <property fmtid="{D5CDD505-2E9C-101B-9397-08002B2CF9AE}" pid="127" name="FSC#UVEKCFG@15.1700:FileResp_FStufe1">
    <vt:lpwstr/>
  </property>
  <property fmtid="{D5CDD505-2E9C-101B-9397-08002B2CF9AE}" pid="128" name="FSC#UVEKCFG@15.1700:FileResp_HStufe2">
    <vt:lpwstr/>
  </property>
  <property fmtid="{D5CDD505-2E9C-101B-9397-08002B2CF9AE}" pid="129" name="FSC#UVEKCFG@15.1700:FileResp_FStufe2">
    <vt:lpwstr/>
  </property>
  <property fmtid="{D5CDD505-2E9C-101B-9397-08002B2CF9AE}" pid="130" name="FSC#UVEKCFG@15.1700:FileResp_HStufe3">
    <vt:lpwstr/>
  </property>
  <property fmtid="{D5CDD505-2E9C-101B-9397-08002B2CF9AE}" pid="131" name="FSC#UVEKCFG@15.1700:FileResp_FStufe3">
    <vt:lpwstr/>
  </property>
  <property fmtid="{D5CDD505-2E9C-101B-9397-08002B2CF9AE}" pid="132" name="FSC#UVEKCFG@15.1700:FileResp_HStufe4">
    <vt:lpwstr/>
  </property>
  <property fmtid="{D5CDD505-2E9C-101B-9397-08002B2CF9AE}" pid="133" name="FSC#UVEKCFG@15.1700:FileResp_FStufe4">
    <vt:lpwstr/>
  </property>
  <property fmtid="{D5CDD505-2E9C-101B-9397-08002B2CF9AE}" pid="134" name="FSC#COOELAK@1.1001:Subject">
    <vt:lpwstr/>
  </property>
  <property fmtid="{D5CDD505-2E9C-101B-9397-08002B2CF9AE}" pid="135" name="FSC#COOELAK@1.1001:FileReference">
    <vt:lpwstr>136.2-00059</vt:lpwstr>
  </property>
  <property fmtid="{D5CDD505-2E9C-101B-9397-08002B2CF9AE}" pid="136" name="FSC#COOELAK@1.1001:FileRefYear">
    <vt:lpwstr>2018</vt:lpwstr>
  </property>
  <property fmtid="{D5CDD505-2E9C-101B-9397-08002B2CF9AE}" pid="137" name="FSC#COOELAK@1.1001:FileRefOrdinal">
    <vt:lpwstr>59</vt:lpwstr>
  </property>
  <property fmtid="{D5CDD505-2E9C-101B-9397-08002B2CF9AE}" pid="138" name="FSC#COOELAK@1.1001:FileRefOU">
    <vt:lpwstr>GE</vt:lpwstr>
  </property>
  <property fmtid="{D5CDD505-2E9C-101B-9397-08002B2CF9AE}" pid="139" name="FSC#COOELAK@1.1001:Organization">
    <vt:lpwstr/>
  </property>
  <property fmtid="{D5CDD505-2E9C-101B-9397-08002B2CF9AE}" pid="140" name="FSC#COOELAK@1.1001:Owner">
    <vt:lpwstr>Kaenel Urs</vt:lpwstr>
  </property>
  <property fmtid="{D5CDD505-2E9C-101B-9397-08002B2CF9AE}" pid="141" name="FSC#COOELAK@1.1001:OwnerExtension">
    <vt:lpwstr>+41 58 463 29 94</vt:lpwstr>
  </property>
  <property fmtid="{D5CDD505-2E9C-101B-9397-08002B2CF9AE}" pid="142" name="FSC#COOELAK@1.1001:OwnerFaxExtension">
    <vt:lpwstr>+41 58 463 25 00</vt:lpwstr>
  </property>
  <property fmtid="{D5CDD505-2E9C-101B-9397-08002B2CF9AE}" pid="143" name="FSC#COOELAK@1.1001:DispatchedBy">
    <vt:lpwstr/>
  </property>
  <property fmtid="{D5CDD505-2E9C-101B-9397-08002B2CF9AE}" pid="144" name="FSC#COOELAK@1.1001:DispatchedAt">
    <vt:lpwstr/>
  </property>
  <property fmtid="{D5CDD505-2E9C-101B-9397-08002B2CF9AE}" pid="145" name="FSC#COOELAK@1.1001:ApprovedBy">
    <vt:lpwstr/>
  </property>
  <property fmtid="{D5CDD505-2E9C-101B-9397-08002B2CF9AE}" pid="146" name="FSC#COOELAK@1.1001:ApprovedAt">
    <vt:lpwstr/>
  </property>
  <property fmtid="{D5CDD505-2E9C-101B-9397-08002B2CF9AE}" pid="147" name="FSC#COOELAK@1.1001:Department">
    <vt:lpwstr>Sektion Informatik (BFE)</vt:lpwstr>
  </property>
  <property fmtid="{D5CDD505-2E9C-101B-9397-08002B2CF9AE}" pid="148" name="FSC#COOELAK@1.1001:CreatedAt">
    <vt:lpwstr>13.06.2019</vt:lpwstr>
  </property>
  <property fmtid="{D5CDD505-2E9C-101B-9397-08002B2CF9AE}" pid="149" name="FSC#COOELAK@1.1001:OU">
    <vt:lpwstr>Sektion Informatik (BFE)</vt:lpwstr>
  </property>
  <property fmtid="{D5CDD505-2E9C-101B-9397-08002B2CF9AE}" pid="150" name="FSC#COOELAK@1.1001:Priority">
    <vt:lpwstr> ()</vt:lpwstr>
  </property>
  <property fmtid="{D5CDD505-2E9C-101B-9397-08002B2CF9AE}" pid="151" name="FSC#COOELAK@1.1001:ObjBarCode">
    <vt:lpwstr>*COO.2207.110.3.1822332*</vt:lpwstr>
  </property>
  <property fmtid="{D5CDD505-2E9C-101B-9397-08002B2CF9AE}" pid="152" name="FSC#COOELAK@1.1001:RefBarCode">
    <vt:lpwstr>*COO.2207.110.2.1822333*</vt:lpwstr>
  </property>
  <property fmtid="{D5CDD505-2E9C-101B-9397-08002B2CF9AE}" pid="153" name="FSC#COOELAK@1.1001:FileRefBarCode">
    <vt:lpwstr>*136.2-00059*</vt:lpwstr>
  </property>
  <property fmtid="{D5CDD505-2E9C-101B-9397-08002B2CF9AE}" pid="154" name="FSC#COOELAK@1.1001:ExternalRef">
    <vt:lpwstr/>
  </property>
  <property fmtid="{D5CDD505-2E9C-101B-9397-08002B2CF9AE}" pid="155" name="FSC#COOELAK@1.1001:IncomingNumber">
    <vt:lpwstr/>
  </property>
  <property fmtid="{D5CDD505-2E9C-101B-9397-08002B2CF9AE}" pid="156" name="FSC#COOELAK@1.1001:IncomingSubject">
    <vt:lpwstr/>
  </property>
  <property fmtid="{D5CDD505-2E9C-101B-9397-08002B2CF9AE}" pid="157" name="FSC#COOELAK@1.1001:ProcessResponsible">
    <vt:lpwstr>Kaenel Urs</vt:lpwstr>
  </property>
  <property fmtid="{D5CDD505-2E9C-101B-9397-08002B2CF9AE}" pid="158" name="FSC#COOELAK@1.1001:ProcessResponsiblePhone">
    <vt:lpwstr>+41 58 463 29 94</vt:lpwstr>
  </property>
  <property fmtid="{D5CDD505-2E9C-101B-9397-08002B2CF9AE}" pid="159" name="FSC#COOELAK@1.1001:ProcessResponsibleMail">
    <vt:lpwstr>urs.kaenel@bfe.admin.ch</vt:lpwstr>
  </property>
  <property fmtid="{D5CDD505-2E9C-101B-9397-08002B2CF9AE}" pid="160" name="FSC#COOELAK@1.1001:ProcessResponsibleFax">
    <vt:lpwstr>+41 58 463 25 00</vt:lpwstr>
  </property>
  <property fmtid="{D5CDD505-2E9C-101B-9397-08002B2CF9AE}" pid="161" name="FSC#COOELAK@1.1001:ApproverFirstName">
    <vt:lpwstr/>
  </property>
  <property fmtid="{D5CDD505-2E9C-101B-9397-08002B2CF9AE}" pid="162" name="FSC#COOELAK@1.1001:ApproverSurName">
    <vt:lpwstr/>
  </property>
  <property fmtid="{D5CDD505-2E9C-101B-9397-08002B2CF9AE}" pid="163" name="FSC#COOELAK@1.1001:ApproverTitle">
    <vt:lpwstr/>
  </property>
  <property fmtid="{D5CDD505-2E9C-101B-9397-08002B2CF9AE}" pid="164" name="FSC#COOELAK@1.1001:ExternalDate">
    <vt:lpwstr/>
  </property>
  <property fmtid="{D5CDD505-2E9C-101B-9397-08002B2CF9AE}" pid="165" name="FSC#COOELAK@1.1001:SettlementApprovedAt">
    <vt:lpwstr/>
  </property>
  <property fmtid="{D5CDD505-2E9C-101B-9397-08002B2CF9AE}" pid="166" name="FSC#COOELAK@1.1001:BaseNumber">
    <vt:lpwstr>136.2</vt:lpwstr>
  </property>
  <property fmtid="{D5CDD505-2E9C-101B-9397-08002B2CF9AE}" pid="167" name="FSC#COOELAK@1.1001:CurrentUserRolePos">
    <vt:lpwstr>Sachbearbeiter/in</vt:lpwstr>
  </property>
  <property fmtid="{D5CDD505-2E9C-101B-9397-08002B2CF9AE}" pid="168" name="FSC#COOELAK@1.1001:CurrentUserEmail">
    <vt:lpwstr>urs.kaenel@bfe.admin.ch</vt:lpwstr>
  </property>
  <property fmtid="{D5CDD505-2E9C-101B-9397-08002B2CF9AE}" pid="169" name="FSC#ELAKGOV@1.1001:PersonalSubjGender">
    <vt:lpwstr/>
  </property>
  <property fmtid="{D5CDD505-2E9C-101B-9397-08002B2CF9AE}" pid="170" name="FSC#ELAKGOV@1.1001:PersonalSubjFirstName">
    <vt:lpwstr/>
  </property>
  <property fmtid="{D5CDD505-2E9C-101B-9397-08002B2CF9AE}" pid="171" name="FSC#ELAKGOV@1.1001:PersonalSubjSurName">
    <vt:lpwstr/>
  </property>
  <property fmtid="{D5CDD505-2E9C-101B-9397-08002B2CF9AE}" pid="172" name="FSC#ELAKGOV@1.1001:PersonalSubjSalutation">
    <vt:lpwstr/>
  </property>
  <property fmtid="{D5CDD505-2E9C-101B-9397-08002B2CF9AE}" pid="173" name="FSC#ELAKGOV@1.1001:PersonalSubjAddress">
    <vt:lpwstr/>
  </property>
  <property fmtid="{D5CDD505-2E9C-101B-9397-08002B2CF9AE}" pid="174" name="FSC#ATSTATECFG@1.1001:Office">
    <vt:lpwstr/>
  </property>
  <property fmtid="{D5CDD505-2E9C-101B-9397-08002B2CF9AE}" pid="175" name="FSC#ATSTATECFG@1.1001:Agent">
    <vt:lpwstr/>
  </property>
  <property fmtid="{D5CDD505-2E9C-101B-9397-08002B2CF9AE}" pid="176" name="FSC#ATSTATECFG@1.1001:AgentPhone">
    <vt:lpwstr/>
  </property>
  <property fmtid="{D5CDD505-2E9C-101B-9397-08002B2CF9AE}" pid="177" name="FSC#ATSTATECFG@1.1001:DepartmentFax">
    <vt:lpwstr/>
  </property>
  <property fmtid="{D5CDD505-2E9C-101B-9397-08002B2CF9AE}" pid="178" name="FSC#ATSTATECFG@1.1001:DepartmentEmail">
    <vt:lpwstr/>
  </property>
  <property fmtid="{D5CDD505-2E9C-101B-9397-08002B2CF9AE}" pid="179" name="FSC#ATSTATECFG@1.1001:SubfileDate">
    <vt:lpwstr/>
  </property>
  <property fmtid="{D5CDD505-2E9C-101B-9397-08002B2CF9AE}" pid="180" name="FSC#ATSTATECFG@1.1001:SubfileSubject">
    <vt:lpwstr>Projektstrukturplan DIMaaS</vt:lpwstr>
  </property>
  <property fmtid="{D5CDD505-2E9C-101B-9397-08002B2CF9AE}" pid="181" name="FSC#ATSTATECFG@1.1001:DepartmentZipCode">
    <vt:lpwstr>3003</vt:lpwstr>
  </property>
  <property fmtid="{D5CDD505-2E9C-101B-9397-08002B2CF9AE}" pid="182" name="FSC#ATSTATECFG@1.1001:DepartmentCountry">
    <vt:lpwstr/>
  </property>
  <property fmtid="{D5CDD505-2E9C-101B-9397-08002B2CF9AE}" pid="183" name="FSC#ATSTATECFG@1.1001:DepartmentCity">
    <vt:lpwstr>Bern</vt:lpwstr>
  </property>
  <property fmtid="{D5CDD505-2E9C-101B-9397-08002B2CF9AE}" pid="184" name="FSC#ATSTATECFG@1.1001:DepartmentStreet">
    <vt:lpwstr>Mühlestrasse 4</vt:lpwstr>
  </property>
  <property fmtid="{D5CDD505-2E9C-101B-9397-08002B2CF9AE}" pid="185" name="FSC#ATSTATECFG@1.1001:DepartmentDVR">
    <vt:lpwstr/>
  </property>
  <property fmtid="{D5CDD505-2E9C-101B-9397-08002B2CF9AE}" pid="186" name="FSC#ATSTATECFG@1.1001:DepartmentUID">
    <vt:lpwstr/>
  </property>
  <property fmtid="{D5CDD505-2E9C-101B-9397-08002B2CF9AE}" pid="187" name="FSC#ATSTATECFG@1.1001:SubfileReference">
    <vt:lpwstr>136.2-00059/00002</vt:lpwstr>
  </property>
  <property fmtid="{D5CDD505-2E9C-101B-9397-08002B2CF9AE}" pid="188" name="FSC#ATSTATECFG@1.1001:Clause">
    <vt:lpwstr/>
  </property>
  <property fmtid="{D5CDD505-2E9C-101B-9397-08002B2CF9AE}" pid="189" name="FSC#ATSTATECFG@1.1001:ApprovedSignature">
    <vt:lpwstr/>
  </property>
  <property fmtid="{D5CDD505-2E9C-101B-9397-08002B2CF9AE}" pid="190" name="FSC#ATSTATECFG@1.1001:BankAccount">
    <vt:lpwstr/>
  </property>
  <property fmtid="{D5CDD505-2E9C-101B-9397-08002B2CF9AE}" pid="191" name="FSC#ATSTATECFG@1.1001:BankAccountOwner">
    <vt:lpwstr/>
  </property>
  <property fmtid="{D5CDD505-2E9C-101B-9397-08002B2CF9AE}" pid="192" name="FSC#ATSTATECFG@1.1001:BankInstitute">
    <vt:lpwstr/>
  </property>
  <property fmtid="{D5CDD505-2E9C-101B-9397-08002B2CF9AE}" pid="193" name="FSC#ATSTATECFG@1.1001:BankAccountID">
    <vt:lpwstr/>
  </property>
  <property fmtid="{D5CDD505-2E9C-101B-9397-08002B2CF9AE}" pid="194" name="FSC#ATSTATECFG@1.1001:BankAccountIBAN">
    <vt:lpwstr/>
  </property>
  <property fmtid="{D5CDD505-2E9C-101B-9397-08002B2CF9AE}" pid="195" name="FSC#ATSTATECFG@1.1001:BankAccountBIC">
    <vt:lpwstr/>
  </property>
  <property fmtid="{D5CDD505-2E9C-101B-9397-08002B2CF9AE}" pid="196" name="FSC#ATSTATECFG@1.1001:BankName">
    <vt:lpwstr/>
  </property>
  <property fmtid="{D5CDD505-2E9C-101B-9397-08002B2CF9AE}" pid="197" name="FSC#COOSYSTEM@1.1:Container">
    <vt:lpwstr>COO.2207.110.3.1822332</vt:lpwstr>
  </property>
  <property fmtid="{D5CDD505-2E9C-101B-9397-08002B2CF9AE}" pid="198" name="FSC#FSCFOLIO@1.1001:docpropproject">
    <vt:lpwstr/>
  </property>
</Properties>
</file>